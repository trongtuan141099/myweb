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trong_zmoc2uf\Desktop\"/>
    </mc:Choice>
  </mc:AlternateContent>
  <xr:revisionPtr revIDLastSave="0" documentId="13_ncr:1_{DACC5BCD-840E-49D3-856D-3FD9F25EE65E}" xr6:coauthVersionLast="47" xr6:coauthVersionMax="47" xr10:uidLastSave="{00000000-0000-0000-0000-000000000000}"/>
  <bookViews>
    <workbookView xWindow="-120" yWindow="-120" windowWidth="20730" windowHeight="11040" tabRatio="781" xr2:uid="{00000000-000D-0000-FFFF-FFFF00000000}"/>
  </bookViews>
  <sheets>
    <sheet name="Input" sheetId="2" r:id="rId1"/>
    <sheet name="DATA_TIME" sheetId="7" r:id="rId2"/>
    <sheet name="DATA_PLASTIC" sheetId="4" r:id="rId3"/>
    <sheet name="SHOT" sheetId="15" state="hidden" r:id="rId4"/>
    <sheet name="DATA_BU" sheetId="14" r:id="rId5"/>
    <sheet name="DATA_TIME_BU" sheetId="9" r:id="rId6"/>
    <sheet name="List" sheetId="3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\C" localSheetId="4">#REF!</definedName>
    <definedName name="\C" localSheetId="2">#REF!</definedName>
    <definedName name="\C">#REF!</definedName>
    <definedName name="\D" localSheetId="4">#REF!</definedName>
    <definedName name="\D" localSheetId="2">#REF!</definedName>
    <definedName name="\D">#REF!</definedName>
    <definedName name="\H" localSheetId="4">#REF!</definedName>
    <definedName name="\H" localSheetId="2">#REF!</definedName>
    <definedName name="\H">#REF!</definedName>
    <definedName name="\X" localSheetId="4">#REF!</definedName>
    <definedName name="\X" localSheetId="2">#REF!</definedName>
    <definedName name="\X">#REF!</definedName>
    <definedName name="\Y" localSheetId="4">#REF!</definedName>
    <definedName name="\Y" localSheetId="2">#REF!</definedName>
    <definedName name="\Y">#REF!</definedName>
    <definedName name="\Z" localSheetId="4">#REF!</definedName>
    <definedName name="\Z" localSheetId="2">#REF!</definedName>
    <definedName name="\Z">#REF!</definedName>
    <definedName name="__123Graph_A" hidden="1">[1]A!$X$9:$X$58</definedName>
    <definedName name="__123Graph_Aｸﾞﾗﾌ2" localSheetId="4" hidden="1">#REF!</definedName>
    <definedName name="__123Graph_Aｸﾞﾗﾌ2" localSheetId="2" hidden="1">#REF!</definedName>
    <definedName name="__123Graph_Aｸﾞﾗﾌ2" hidden="1">#REF!</definedName>
    <definedName name="__123Graph_X" hidden="1">[1]A!$W$9:$W$58</definedName>
    <definedName name="__123Graph_Xｸﾞﾗﾌ2" localSheetId="4" hidden="1">#REF!</definedName>
    <definedName name="__123Graph_Xｸﾞﾗﾌ2" localSheetId="2" hidden="1">#REF!</definedName>
    <definedName name="__123Graph_Xｸﾞﾗﾌ2" hidden="1">#REF!</definedName>
    <definedName name="_Fill" localSheetId="4" hidden="1">#REF!</definedName>
    <definedName name="_Fill" localSheetId="2" hidden="1">#REF!</definedName>
    <definedName name="_Fill" hidden="1">#REF!</definedName>
    <definedName name="_xlnm._FilterDatabase" localSheetId="4" hidden="1">DATA_BU!$A$2:$AN$965</definedName>
    <definedName name="_xlnm._FilterDatabase" localSheetId="2" hidden="1">DATA_PLASTIC!$A$2:$AN$459</definedName>
    <definedName name="_xlnm._FilterDatabase" localSheetId="0" hidden="1">Input!$W$14:$AO$56</definedName>
    <definedName name="_Key1" localSheetId="4" hidden="1">#REF!</definedName>
    <definedName name="_Key1" localSheetId="2" hidden="1">#REF!</definedName>
    <definedName name="_Key1" hidden="1">#REF!</definedName>
    <definedName name="_lvt1" localSheetId="4">#REF!</definedName>
    <definedName name="_lvt1" localSheetId="2">#REF!</definedName>
    <definedName name="_lvt1">#REF!</definedName>
    <definedName name="_Order1" hidden="1">255</definedName>
    <definedName name="_Regression_X" localSheetId="4" hidden="1">#REF!</definedName>
    <definedName name="_Regression_X" localSheetId="2" hidden="1">#REF!</definedName>
    <definedName name="_Regression_X" hidden="1">#REF!</definedName>
    <definedName name="_Sort" localSheetId="4" hidden="1">#REF!</definedName>
    <definedName name="_Sort" localSheetId="2" hidden="1">#REF!</definedName>
    <definedName name="_Sort" hidden="1">#REF!</definedName>
    <definedName name="_Table1_In1" localSheetId="4" hidden="1">#REF!</definedName>
    <definedName name="_Table1_In1" localSheetId="2" hidden="1">#REF!</definedName>
    <definedName name="_Table1_In1" hidden="1">#REF!</definedName>
    <definedName name="_Table1_Out" localSheetId="4" hidden="1">#REF!</definedName>
    <definedName name="_Table1_Out" localSheetId="2" hidden="1">#REF!</definedName>
    <definedName name="_Table1_Out" hidden="1">#REF!</definedName>
    <definedName name="_Table2_In1" localSheetId="4" hidden="1">#REF!</definedName>
    <definedName name="_Table2_In1" localSheetId="2" hidden="1">#REF!</definedName>
    <definedName name="_Table2_In1" hidden="1">#REF!</definedName>
    <definedName name="_Table2_Out" localSheetId="4" hidden="1">#REF!</definedName>
    <definedName name="_Table2_Out" localSheetId="2" hidden="1">#REF!</definedName>
    <definedName name="_Table2_Out" hidden="1">#REF!</definedName>
    <definedName name="a" localSheetId="4" hidden="1">#REF!</definedName>
    <definedName name="a" localSheetId="2" hidden="1">#REF!</definedName>
    <definedName name="a" hidden="1">#REF!</definedName>
    <definedName name="aaa" localSheetId="4">[2]SY不良!#REF!</definedName>
    <definedName name="aaa" localSheetId="2">[2]SY不良!#REF!</definedName>
    <definedName name="aaa">[2]SY不良!#REF!</definedName>
    <definedName name="as" localSheetId="4" hidden="1">#REF!</definedName>
    <definedName name="as" localSheetId="2" hidden="1">#REF!</definedName>
    <definedName name="as" hidden="1">#REF!</definedName>
    <definedName name="bang" localSheetId="4">#REF!</definedName>
    <definedName name="bang" localSheetId="2">#REF!</definedName>
    <definedName name="bang">#REF!</definedName>
    <definedName name="bbbb" localSheetId="4">[2]SY不良!#REF!</definedName>
    <definedName name="bbbb" localSheetId="2">[2]SY不良!#REF!</definedName>
    <definedName name="bbbb">[2]SY不良!#REF!</definedName>
    <definedName name="Bể___Material__壊れる" localSheetId="4">[2]SY不良!#REF!</definedName>
    <definedName name="Bể___Material__壊れる" localSheetId="2">[2]SY不良!#REF!</definedName>
    <definedName name="Bể___Material__壊れる">[2]SY不良!#REF!</definedName>
    <definedName name="BODYIN" localSheetId="4">#REF!</definedName>
    <definedName name="BODYIN" localSheetId="2">#REF!</definedName>
    <definedName name="BODYIN">#REF!</definedName>
    <definedName name="BURAKETIN" localSheetId="4">#REF!</definedName>
    <definedName name="BURAKETIN" localSheetId="2">#REF!</definedName>
    <definedName name="BURAKETIN">#REF!</definedName>
    <definedName name="Cấn__Material__だこ" localSheetId="4">[2]SY不良!#REF!</definedName>
    <definedName name="Cấn__Material__だこ" localSheetId="2">[2]SY不良!#REF!</definedName>
    <definedName name="Cấn__Material__だこ">[2]SY不良!#REF!</definedName>
    <definedName name="cc" localSheetId="4">#REF!</definedName>
    <definedName name="cc" localSheetId="2">#REF!</definedName>
    <definedName name="cc">#REF!</definedName>
    <definedName name="cot_gia_tien">[3]ボディAssy単価付!$H$2:$H$39</definedName>
    <definedName name="_xlnm.Criteria" localSheetId="4">#REF!</definedName>
    <definedName name="_xlnm.Criteria" localSheetId="2">#REF!</definedName>
    <definedName name="_xlnm.Criteria">#REF!</definedName>
    <definedName name="đâ" localSheetId="4" hidden="1">#REF!</definedName>
    <definedName name="đâ" localSheetId="2" hidden="1">#REF!</definedName>
    <definedName name="đâ" hidden="1">#REF!</definedName>
    <definedName name="DATA">#REF!</definedName>
    <definedName name="_xlnm.Database" localSheetId="4">#REF!</definedName>
    <definedName name="_xlnm.Database" localSheetId="2">#REF!</definedName>
    <definedName name="_xlnm.Database">#REF!</definedName>
    <definedName name="DATAJP">#REF!</definedName>
    <definedName name="DATAVN">#REF!</definedName>
    <definedName name="df" localSheetId="4">#REF!</definedName>
    <definedName name="df" localSheetId="2">#REF!</definedName>
    <definedName name="df">#REF!</definedName>
    <definedName name="DITI">#REF!</definedName>
    <definedName name="DMHT">[4]LIST!$S$3:$T$5</definedName>
    <definedName name="DMTP">[4]LIST!$L$3:$N$8</definedName>
    <definedName name="DMVT">[4]LIST!$D$3:$F$13</definedName>
    <definedName name="Foreign_object_attacahed_その他" localSheetId="4">[2]SY不良!#REF!</definedName>
    <definedName name="Foreign_object_attacahed_その他" localSheetId="2">[2]SY不良!#REF!</definedName>
    <definedName name="Foreign_object_attacahed_その他">[2]SY不良!#REF!</definedName>
    <definedName name="gg" localSheetId="4" hidden="1">#REF!</definedName>
    <definedName name="gg" localSheetId="2" hidden="1">#REF!</definedName>
    <definedName name="gg" hidden="1">#REF!</definedName>
    <definedName name="ii" localSheetId="4">#REF!</definedName>
    <definedName name="ii" localSheetId="2">#REF!</definedName>
    <definedName name="ii">#REF!</definedName>
    <definedName name="kh" localSheetId="4">#REF!</definedName>
    <definedName name="kh" localSheetId="2">#REF!</definedName>
    <definedName name="kh">#REF!</definedName>
    <definedName name="Khác" localSheetId="4">[2]SY不良!#REF!</definedName>
    <definedName name="Khác" localSheetId="2">[2]SY不良!#REF!</definedName>
    <definedName name="Khác">[2]SY不良!#REF!</definedName>
    <definedName name="khác1" localSheetId="4">[2]SY不良!#REF!</definedName>
    <definedName name="khác1" localSheetId="2">[2]SY不良!#REF!</definedName>
    <definedName name="khác1">[2]SY不良!#REF!</definedName>
    <definedName name="Không_hoạt_động_動かない" localSheetId="4">[2]SY不良!#REF!</definedName>
    <definedName name="Không_hoạt_động_動かない" localSheetId="2">[2]SY不良!#REF!</definedName>
    <definedName name="Không_hoạt_động_動かない">[2]SY不良!#REF!</definedName>
    <definedName name="lon" localSheetId="4">#REF!</definedName>
    <definedName name="lon" localSheetId="2">#REF!</definedName>
    <definedName name="lon">#REF!</definedName>
    <definedName name="masp" localSheetId="4">#REF!</definedName>
    <definedName name="masp" localSheetId="2">#REF!</definedName>
    <definedName name="masp">#REF!</definedName>
    <definedName name="MENU">OFFSET('[5]Menu Data'!$A$5,0,0,COUNTA('[5]Menu Data'!$A:$A)-2,17)</definedName>
    <definedName name="Model">[6]Sheet1!$A$1:$A$258</definedName>
    <definedName name="N_1023処理5_集計部別ホロン別" localSheetId="4">#REF!</definedName>
    <definedName name="N_1023処理5_集計部別ホロン別" localSheetId="2">#REF!</definedName>
    <definedName name="N_1023処理5_集計部別ホロン別">#REF!</definedName>
    <definedName name="N_1023処理5_集計部別ホロン別明細" localSheetId="4">#REF!</definedName>
    <definedName name="N_1023処理5_集計部別ホロン別明細" localSheetId="2">#REF!</definedName>
    <definedName name="N_1023処理5_集計部別ホロン別明細">#REF!</definedName>
    <definedName name="N_1023処理9_月別品番別" localSheetId="4">#REF!</definedName>
    <definedName name="N_1023処理9_月別品番別" localSheetId="2">#REF!</definedName>
    <definedName name="N_1023処理9_月別品番別">#REF!</definedName>
    <definedName name="Ngoại_quan_khác" localSheetId="4">[2]SY不良!#REF!</definedName>
    <definedName name="Ngoại_quan_khác" localSheetId="2">[2]SY不良!#REF!</definedName>
    <definedName name="Ngoại_quan_khác">[2]SY不良!#REF!</definedName>
    <definedName name="PILOTIN1" localSheetId="4">#REF!</definedName>
    <definedName name="PILOTIN1" localSheetId="2">#REF!</definedName>
    <definedName name="PILOTIN1">#REF!</definedName>
    <definedName name="PILOTIN2" localSheetId="4">#REF!</definedName>
    <definedName name="PILOTIN2" localSheetId="2">#REF!</definedName>
    <definedName name="PILOTIN2">#REF!</definedName>
    <definedName name="POTOIN" localSheetId="4">#REF!</definedName>
    <definedName name="POTOIN" localSheetId="2">#REF!</definedName>
    <definedName name="POTOIN">#REF!</definedName>
    <definedName name="_xlnm.Print_Area" localSheetId="0">Input!$A$1:$AP$46</definedName>
    <definedName name="_xlnm.Print_Area" localSheetId="3">SHOT!$C$1:$J$21</definedName>
    <definedName name="Rò_rỉ_ngoài_外部漏れ" localSheetId="4">[2]SY不良!#REF!</definedName>
    <definedName name="Rò_rỉ_ngoài_外部漏れ" localSheetId="2">[2]SY不良!#REF!</definedName>
    <definedName name="Rò_rỉ_ngoài_外部漏れ">[2]SY不良!#REF!</definedName>
    <definedName name="Rò_rỉ_trong_内部漏れ" localSheetId="4">[2]SY不良!#REF!</definedName>
    <definedName name="Rò_rỉ_trong_内部漏れ" localSheetId="2">[2]SY不良!#REF!</definedName>
    <definedName name="Rò_rỉ_trong_内部漏れ">[2]SY不良!#REF!</definedName>
    <definedName name="T">#REF!</definedName>
    <definedName name="T_原価提出用ベトナム給与データ_クエリ" localSheetId="4">#REF!</definedName>
    <definedName name="T_原価提出用ベトナム給与データ_クエリ" localSheetId="2">#REF!</definedName>
    <definedName name="T_原価提出用ベトナム給与データ_クエリ">#REF!</definedName>
    <definedName name="Thiếu_gasket_ガスケットが無い" localSheetId="4">[2]SY不良!#REF!</definedName>
    <definedName name="Thiếu_gasket_ガスケットが無い" localSheetId="2">[2]SY不良!#REF!</definedName>
    <definedName name="Thiếu_gasket_ガスケットが無い">[2]SY不良!#REF!</definedName>
    <definedName name="Thread_screw_damaged_ビースの頭が変形" localSheetId="4">[2]SY不良!#REF!</definedName>
    <definedName name="Thread_screw_damaged_ビースの頭が変形" localSheetId="2">[2]SY不良!#REF!</definedName>
    <definedName name="Thread_screw_damaged_ビースの頭が変形">[2]SY不良!#REF!</definedName>
    <definedName name="tr" localSheetId="4">#REF!</definedName>
    <definedName name="tr" localSheetId="2">#REF!</definedName>
    <definedName name="tr">#REF!</definedName>
    <definedName name="Trầy__Material__傷" localSheetId="4">[2]SY不良!#REF!</definedName>
    <definedName name="Trầy__Material__傷" localSheetId="2">[2]SY不良!#REF!</definedName>
    <definedName name="Trầy__Material__傷">[2]SY不良!#REF!</definedName>
    <definedName name="tre" localSheetId="4">#REF!</definedName>
    <definedName name="tre" localSheetId="2">#REF!</definedName>
    <definedName name="tre">#REF!</definedName>
    <definedName name="Tróc_sơn__Material__塗装が剝がれる" localSheetId="4">[2]SY不良!#REF!</definedName>
    <definedName name="Tróc_sơn__Material__塗装が剝がれる" localSheetId="2">[2]SY不良!#REF!</definedName>
    <definedName name="Tróc_sơn__Material__塗装が剝がれる">[2]SY不良!#REF!</definedName>
    <definedName name="tt" localSheetId="4">#REF!</definedName>
    <definedName name="tt" localSheetId="2">#REF!</definedName>
    <definedName name="tt">#REF!</definedName>
    <definedName name="VTSP">[4]VTSP!$A$4:$G$1000</definedName>
    <definedName name="vung_body">[3]ボディAssy単価付!$B$2:$H$39</definedName>
    <definedName name="vung_sheet2" localSheetId="4">#REF!</definedName>
    <definedName name="vung_sheet2" localSheetId="2">#REF!</definedName>
    <definedName name="vung_sheet2">#REF!</definedName>
    <definedName name="シリーズ" localSheetId="4">#REF!</definedName>
    <definedName name="シリーズ" localSheetId="2">#REF!</definedName>
    <definedName name="シリーズ">#REF!</definedName>
    <definedName name="ﾃﾞｰﾀ" localSheetId="4">#REF!</definedName>
    <definedName name="ﾃﾞｰﾀ" localSheetId="2">#REF!</definedName>
    <definedName name="ﾃﾞｰﾀ">#REF!</definedName>
    <definedName name="ﾊﾟｽ" localSheetId="4">#REF!</definedName>
    <definedName name="ﾊﾟｽ" localSheetId="2">#REF!</definedName>
    <definedName name="ﾊﾟｽ">#REF!</definedName>
    <definedName name="ライン" localSheetId="4">#REF!</definedName>
    <definedName name="ライン" localSheetId="2">#REF!</definedName>
    <definedName name="ライン">#REF!</definedName>
    <definedName name="ﾙｰﾌﾟ" localSheetId="4">#REF!</definedName>
    <definedName name="ﾙｰﾌﾟ" localSheetId="2">#REF!</definedName>
    <definedName name="ﾙｰﾌﾟ">#REF!</definedName>
    <definedName name="不良品数量" localSheetId="4">#REF!</definedName>
    <definedName name="不良品数量" localSheetId="2">#REF!</definedName>
    <definedName name="不良品数量">#REF!</definedName>
    <definedName name="不良数_NG_Qty" localSheetId="4">[2]SY不良!#REF!</definedName>
    <definedName name="不良数_NG_Qty" localSheetId="2">[2]SY不良!#REF!</definedName>
    <definedName name="不良数_NG_Qty">[2]SY不良!#REF!</definedName>
    <definedName name="不良率" localSheetId="4">[2]SY不良!#REF!</definedName>
    <definedName name="不良率" localSheetId="2">[2]SY不良!#REF!</definedName>
    <definedName name="不良率">[2]SY不良!#REF!</definedName>
    <definedName name="作業数_Qty" localSheetId="4">[2]SY不良!#REF!</definedName>
    <definedName name="作業数_Qty" localSheetId="2">[2]SY不良!#REF!</definedName>
    <definedName name="作業数_Qty">[2]SY不良!#REF!</definedName>
    <definedName name="償却期後" localSheetId="4">#REF!</definedName>
    <definedName name="償却期後" localSheetId="2">#REF!</definedName>
    <definedName name="償却期後">#REF!</definedName>
    <definedName name="償却費\0" localSheetId="4">#REF!</definedName>
    <definedName name="償却費\0" localSheetId="2">#REF!</definedName>
    <definedName name="償却費\0">#REF!</definedName>
    <definedName name="名前" localSheetId="4">#REF!</definedName>
    <definedName name="名前" localSheetId="2">#REF!</definedName>
    <definedName name="名前">#REF!</definedName>
    <definedName name="品名_Part_Name" localSheetId="4">[2]SY不良!#REF!</definedName>
    <definedName name="品名_Part_Name" localSheetId="2">[2]SY不良!#REF!</definedName>
    <definedName name="品名_Part_Name">[2]SY不良!#REF!</definedName>
    <definedName name="品番" localSheetId="4">#REF!</definedName>
    <definedName name="品番" localSheetId="2">#REF!</definedName>
    <definedName name="品番">#REF!</definedName>
    <definedName name="品番_Production_Code" localSheetId="4">[2]SY不良!#REF!</definedName>
    <definedName name="品番_Production_Code" localSheetId="2">[2]SY不良!#REF!</definedName>
    <definedName name="品番_Production_Code">[2]SY不良!#REF!</definedName>
    <definedName name="変数1" localSheetId="4">#REF!</definedName>
    <definedName name="変数1" localSheetId="2">#REF!</definedName>
    <definedName name="変数1">#REF!</definedName>
    <definedName name="変数2" localSheetId="4">#REF!</definedName>
    <definedName name="変数2" localSheetId="2">#REF!</definedName>
    <definedName name="変数2">#REF!</definedName>
    <definedName name="工程_Công_đoạn_SX" localSheetId="4">[2]SY不良!#REF!</definedName>
    <definedName name="工程_Công_đoạn_SX" localSheetId="2">[2]SY不良!#REF!</definedName>
    <definedName name="工程_Công_đoạn_SX">[2]SY不良!#REF!</definedName>
    <definedName name="工程数" localSheetId="4">#REF!</definedName>
    <definedName name="工程数" localSheetId="2">#REF!</definedName>
    <definedName name="工程数">#REF!</definedName>
    <definedName name="指示番号" localSheetId="4">#REF!</definedName>
    <definedName name="指示番号" localSheetId="2">#REF!</definedName>
    <definedName name="指示番号">#REF!</definedName>
    <definedName name="指示番号_MS_Chỉ_Thị" localSheetId="4">[2]SY不良!#REF!</definedName>
    <definedName name="指示番号_MS_Chỉ_Thị" localSheetId="2">[2]SY不良!#REF!</definedName>
    <definedName name="指示番号_MS_Chỉ_Thị">[2]SY不良!#REF!</definedName>
    <definedName name="日1" localSheetId="4">#REF!</definedName>
    <definedName name="日1" localSheetId="2">#REF!</definedName>
    <definedName name="日1">#REF!</definedName>
    <definedName name="日付" localSheetId="4">#REF!</definedName>
    <definedName name="日付" localSheetId="2">#REF!</definedName>
    <definedName name="日付">#REF!</definedName>
    <definedName name="時間" localSheetId="4">#REF!</definedName>
    <definedName name="時間" localSheetId="2">#REF!</definedName>
    <definedName name="時間">#REF!</definedName>
    <definedName name="条件1" localSheetId="4">#REF!</definedName>
    <definedName name="条件1" localSheetId="2">#REF!</definedName>
    <definedName name="条件1">#REF!</definedName>
    <definedName name="条件2" localSheetId="4">#REF!</definedName>
    <definedName name="条件2" localSheetId="2">#REF!</definedName>
    <definedName name="条件2">#REF!</definedName>
    <definedName name="検索" localSheetId="4">#REF!</definedName>
    <definedName name="検索" localSheetId="2">#REF!</definedName>
    <definedName name="検索">#REF!</definedName>
    <definedName name="検索2" localSheetId="4">#REF!</definedName>
    <definedName name="検索2" localSheetId="2">#REF!</definedName>
    <definedName name="検索2">#REF!</definedName>
    <definedName name="検索3" localSheetId="4">#REF!</definedName>
    <definedName name="検索3" localSheetId="2">#REF!</definedName>
    <definedName name="検索3">#REF!</definedName>
    <definedName name="演算1" localSheetId="4">#REF!</definedName>
    <definedName name="演算1" localSheetId="2">#REF!</definedName>
    <definedName name="演算1">#REF!</definedName>
    <definedName name="演算2" localSheetId="4">#REF!</definedName>
    <definedName name="演算2" localSheetId="2">#REF!</definedName>
    <definedName name="演算2">#REF!</definedName>
    <definedName name="発生日_Ngày_sản_xuất" localSheetId="4">[2]SY不良!#REF!</definedName>
    <definedName name="発生日_Ngày_sản_xuất" localSheetId="2">[2]SY不良!#REF!</definedName>
    <definedName name="発生日_Ngày_sản_xuất">[2]SY不良!#REF!</definedName>
    <definedName name="社員番号" localSheetId="4">#REF!</definedName>
    <definedName name="社員番号" localSheetId="2">#REF!</definedName>
    <definedName name="社員番号">#REF!</definedName>
    <definedName name="範囲1" localSheetId="4">#REF!</definedName>
    <definedName name="範囲1" localSheetId="2">#REF!</definedName>
    <definedName name="範囲1">#REF!</definedName>
    <definedName name="範囲2" localSheetId="4">#REF!</definedName>
    <definedName name="範囲2" localSheetId="2">#REF!</definedName>
    <definedName name="範囲2">#REF!</definedName>
    <definedName name="良品数量" localSheetId="4">#REF!</definedName>
    <definedName name="良品数量" localSheetId="2">#REF!</definedName>
    <definedName name="良品数量">#REF!</definedName>
    <definedName name="部品コード_Part_Code" localSheetId="4">[2]SY不良!#REF!</definedName>
    <definedName name="部品コード_Part_Code" localSheetId="2">[2]SY不良!#REF!</definedName>
    <definedName name="部品コード_Part_Code">[2]SY不良!#REF!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00" i="14" l="1"/>
  <c r="J872" i="14" l="1"/>
  <c r="K7" i="4"/>
  <c r="J7" i="4"/>
  <c r="AN7" i="4" s="1"/>
  <c r="K6" i="4"/>
  <c r="J6" i="4"/>
  <c r="AN6" i="4"/>
  <c r="J621" i="14" l="1"/>
  <c r="AN25" i="4" l="1"/>
  <c r="AN15" i="4"/>
  <c r="AN14" i="4"/>
  <c r="J493" i="14" l="1"/>
  <c r="J476" i="14" l="1"/>
  <c r="J473" i="14"/>
  <c r="J474" i="14"/>
  <c r="J432" i="14" l="1"/>
  <c r="K399" i="14" l="1"/>
  <c r="K381" i="14" l="1"/>
  <c r="AN5" i="4" l="1"/>
  <c r="AN8" i="4"/>
  <c r="AN9" i="4"/>
  <c r="AN10" i="4"/>
  <c r="AN11" i="4"/>
  <c r="AN12" i="4"/>
  <c r="AN13" i="4"/>
  <c r="AN16" i="4"/>
  <c r="AN17" i="4"/>
  <c r="AN19" i="4"/>
  <c r="AN20" i="4"/>
  <c r="AN22" i="4"/>
  <c r="AN23" i="4"/>
  <c r="AN24" i="4"/>
  <c r="AN26" i="4"/>
  <c r="AN27" i="4"/>
  <c r="AN28" i="4"/>
  <c r="AN29" i="4"/>
  <c r="AN30" i="4"/>
  <c r="AN31" i="4"/>
  <c r="AN32" i="4"/>
  <c r="AN33" i="4"/>
  <c r="AN34" i="4"/>
  <c r="AN35" i="4"/>
  <c r="AN36" i="4"/>
  <c r="AN37" i="4"/>
  <c r="AN161" i="14"/>
  <c r="AN162" i="14"/>
  <c r="AN179" i="14"/>
  <c r="AN181" i="14"/>
  <c r="AN182" i="14"/>
  <c r="AN183" i="14"/>
  <c r="AN184" i="14"/>
  <c r="AN185" i="14"/>
  <c r="AN186" i="14"/>
  <c r="AN187" i="14"/>
  <c r="AN188" i="14"/>
  <c r="AN189" i="14"/>
  <c r="AN190" i="14"/>
  <c r="AN191" i="14"/>
  <c r="AN192" i="14"/>
  <c r="AN193" i="14"/>
  <c r="AN194" i="14"/>
  <c r="AN195" i="14"/>
  <c r="AN196" i="14"/>
  <c r="AN197" i="14"/>
  <c r="AN198" i="14"/>
  <c r="AN199" i="14"/>
  <c r="AN200" i="14"/>
  <c r="AN201" i="14"/>
  <c r="AN202" i="14"/>
  <c r="AN203" i="14"/>
  <c r="AN204" i="14"/>
  <c r="AN205" i="14"/>
  <c r="AN206" i="14"/>
  <c r="AN207" i="14"/>
  <c r="AN208" i="14"/>
  <c r="AN209" i="14"/>
  <c r="AN210" i="14"/>
  <c r="AN211" i="14"/>
  <c r="AN212" i="14"/>
  <c r="AN213" i="14"/>
  <c r="AN214" i="14"/>
  <c r="AN215" i="14"/>
  <c r="AN216" i="14"/>
  <c r="AN217" i="14"/>
  <c r="AN218" i="14"/>
  <c r="AN219" i="14"/>
  <c r="AN220" i="14"/>
  <c r="AN221" i="14"/>
  <c r="AN222" i="14"/>
  <c r="AN223" i="14"/>
  <c r="AN224" i="14"/>
  <c r="AN225" i="14"/>
  <c r="AN226" i="14"/>
  <c r="AN227" i="14"/>
  <c r="AN228" i="14"/>
  <c r="AN229" i="14"/>
  <c r="AN230" i="14"/>
  <c r="AN231" i="14"/>
  <c r="AN232" i="14"/>
  <c r="AN233" i="14"/>
  <c r="AN234" i="14"/>
  <c r="AN235" i="14"/>
  <c r="AN236" i="14"/>
  <c r="AN237" i="14"/>
  <c r="AN238" i="14"/>
  <c r="AN239" i="14"/>
  <c r="AN240" i="14"/>
  <c r="AN241" i="14"/>
  <c r="AN242" i="14"/>
  <c r="AN243" i="14"/>
  <c r="AN244" i="14"/>
  <c r="AN245" i="14"/>
  <c r="AN246" i="14"/>
  <c r="AN247" i="14"/>
  <c r="AN248" i="14"/>
  <c r="AN249" i="14"/>
  <c r="AN250" i="14"/>
  <c r="AN251" i="14"/>
  <c r="AN252" i="14"/>
  <c r="AN253" i="14"/>
  <c r="AN254" i="14"/>
  <c r="AN255" i="14"/>
  <c r="AN256" i="14"/>
  <c r="AN257" i="14"/>
  <c r="AN258" i="14"/>
  <c r="AN259" i="14"/>
  <c r="AN260" i="14"/>
  <c r="AN261" i="14"/>
  <c r="AN262" i="14"/>
  <c r="AN263" i="14"/>
  <c r="AN264" i="14"/>
  <c r="AN265" i="14"/>
  <c r="AN266" i="14"/>
  <c r="AN267" i="14"/>
  <c r="AN268" i="14"/>
  <c r="AN269" i="14"/>
  <c r="AN270" i="14"/>
  <c r="AN271" i="14"/>
  <c r="AN272" i="14"/>
  <c r="AN273" i="14"/>
  <c r="AN274" i="14"/>
  <c r="AN275" i="14"/>
  <c r="AN276" i="14"/>
  <c r="AN277" i="14"/>
  <c r="AN278" i="14"/>
  <c r="AN279" i="14"/>
  <c r="AN280" i="14"/>
  <c r="AN281" i="14"/>
  <c r="AN282" i="14"/>
  <c r="AN283" i="14"/>
  <c r="AN284" i="14"/>
  <c r="AN285" i="14"/>
  <c r="AN286" i="14"/>
  <c r="AI6" i="2"/>
  <c r="AN38" i="4" l="1"/>
  <c r="AN354" i="4" l="1"/>
  <c r="AQ26" i="2" l="1"/>
  <c r="AQ25" i="2"/>
  <c r="AQ24" i="2"/>
  <c r="AQ23" i="2"/>
  <c r="AQ22" i="2"/>
  <c r="AQ21" i="2"/>
  <c r="AQ20" i="2"/>
  <c r="AQ19" i="2"/>
  <c r="AQ18" i="2"/>
  <c r="AQ17" i="2"/>
  <c r="AQ16" i="2"/>
  <c r="AQ15" i="2"/>
  <c r="AQ55" i="2"/>
  <c r="AQ54" i="2"/>
  <c r="AQ53" i="2"/>
  <c r="AQ52" i="2"/>
  <c r="AQ51" i="2"/>
  <c r="AQ50" i="2"/>
  <c r="AQ49" i="2"/>
  <c r="AQ48" i="2"/>
  <c r="AQ47" i="2"/>
  <c r="AQ46" i="2"/>
  <c r="AQ45" i="2"/>
  <c r="AQ44" i="2"/>
  <c r="AQ43" i="2"/>
  <c r="AQ42" i="2"/>
  <c r="AQ41" i="2"/>
  <c r="AQ40" i="2"/>
  <c r="AQ38" i="2"/>
  <c r="AQ37" i="2"/>
  <c r="AQ36" i="2"/>
  <c r="AQ35" i="2"/>
  <c r="AQ34" i="2"/>
  <c r="AQ33" i="2"/>
  <c r="AQ32" i="2"/>
  <c r="AQ31" i="2"/>
  <c r="AQ30" i="2"/>
  <c r="AQ29" i="2"/>
  <c r="AQ28" i="2"/>
  <c r="AS13" i="2" l="1"/>
  <c r="AS14" i="2" s="1"/>
  <c r="F54" i="2"/>
  <c r="V12" i="2" l="1"/>
  <c r="AF27" i="2" l="1"/>
  <c r="AI27" i="2"/>
  <c r="AQ27" i="2" s="1"/>
  <c r="AI39" i="2"/>
  <c r="AQ39" i="2" s="1"/>
  <c r="AF39" i="2"/>
  <c r="AL56" i="2" l="1"/>
  <c r="AN56" i="2"/>
  <c r="AM56" i="2"/>
  <c r="AA6" i="2" s="1"/>
  <c r="F51" i="2" l="1"/>
  <c r="F30" i="2" s="1"/>
  <c r="F5" i="2"/>
  <c r="F50" i="2" l="1"/>
  <c r="F49" i="2" l="1"/>
  <c r="B25" i="2" l="1"/>
  <c r="W10" i="2"/>
  <c r="H10" i="2"/>
  <c r="B11" i="2"/>
  <c r="V6" i="2" l="1"/>
  <c r="F52" i="2" s="1"/>
  <c r="F53" i="2"/>
  <c r="F48" i="2"/>
  <c r="J15" i="2" s="1"/>
  <c r="W6" i="2"/>
  <c r="Q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tuan.tt \SMCMFG</author>
  </authors>
  <commentList>
    <comment ref="AK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tuan.tt \SMCMFG:</t>
        </r>
        <r>
          <rPr>
            <sz val="9"/>
            <color indexed="81"/>
            <rFont val="Tahoma"/>
            <family val="2"/>
          </rPr>
          <t xml:space="preserve">
Mã số nhân viên</t>
        </r>
      </text>
    </comment>
    <comment ref="Y37" authorId="0" shapeId="0" xr:uid="{F2D7D2CC-BC19-43C7-90FB-AFC077C9CFA7}">
      <text>
        <r>
          <rPr>
            <b/>
            <sz val="9"/>
            <color indexed="81"/>
            <rFont val="Tahoma"/>
            <family val="2"/>
          </rPr>
          <t>tuan.tt \SMCMFG:</t>
        </r>
        <r>
          <rPr>
            <sz val="9"/>
            <color indexed="81"/>
            <rFont val="Tahoma"/>
            <family val="2"/>
          </rPr>
          <t xml:space="preserve">
Điều chỉnh ( bắt đầu công việc ) --&gt; Thời gian setup
</t>
        </r>
      </text>
    </comment>
  </commentList>
</comments>
</file>

<file path=xl/sharedStrings.xml><?xml version="1.0" encoding="utf-8"?>
<sst xmlns="http://schemas.openxmlformats.org/spreadsheetml/2006/main" count="12438" uniqueCount="1836">
  <si>
    <t>Mã số quản lý:FEFDC-00018_G</t>
  </si>
  <si>
    <t>Công Đoạn</t>
  </si>
  <si>
    <t>BÁO CÁO SẢN XUẤT HÀNG NGÀY</t>
  </si>
  <si>
    <t>Xác nhận</t>
  </si>
  <si>
    <t>Đùn</t>
  </si>
  <si>
    <t>Ca sản xuất</t>
  </si>
  <si>
    <t>Mã số thiết bị</t>
  </si>
  <si>
    <t>Số máy chờ</t>
  </si>
  <si>
    <t>Ngày</t>
  </si>
  <si>
    <t>MSNV</t>
  </si>
  <si>
    <t>Size ống</t>
  </si>
  <si>
    <t>Mã Sản Phẩm</t>
  </si>
  <si>
    <t>Số lượng bobin</t>
  </si>
  <si>
    <t>Số mét</t>
  </si>
  <si>
    <t>Bắt đầu</t>
  </si>
  <si>
    <t>Kết thúc</t>
  </si>
  <si>
    <t>Thời gian</t>
  </si>
  <si>
    <t>m</t>
  </si>
  <si>
    <t>PL7-3</t>
  </si>
  <si>
    <t>PL4-7</t>
  </si>
  <si>
    <t>Nguyên liệu sản xuất</t>
  </si>
  <si>
    <t>Thời gian dừng máy và thời gian thao tác</t>
  </si>
  <si>
    <t>Lot No.</t>
  </si>
  <si>
    <t>Loại VL</t>
  </si>
  <si>
    <t>Số lần</t>
  </si>
  <si>
    <t>Trọng lượng (Kg)</t>
  </si>
  <si>
    <t xml:space="preserve"> Lot No.</t>
  </si>
  <si>
    <t>Hạng mục</t>
  </si>
  <si>
    <t>Mô tả</t>
  </si>
  <si>
    <t>Máy đang chạy=1</t>
  </si>
  <si>
    <t>Số người</t>
  </si>
  <si>
    <t>Số người hỗ trợ</t>
  </si>
  <si>
    <t>Mã tài liệu</t>
  </si>
  <si>
    <t>Chào lễ đầu giờ</t>
  </si>
  <si>
    <t>Kiểm tra máy</t>
  </si>
  <si>
    <t>308-2</t>
  </si>
  <si>
    <t>Thay đổi điều kiện nhiệt độ</t>
  </si>
  <si>
    <t>Phế phẩm</t>
  </si>
  <si>
    <t>308-1</t>
  </si>
  <si>
    <t>Điều chỉnh setup máy (khi bắt đầu sản xuất)</t>
  </si>
  <si>
    <t>Trọng lượng NG (Kg)</t>
  </si>
  <si>
    <t>Số lượng (kg)</t>
  </si>
  <si>
    <t>Đo độ dày ống trong quá trình sản xuất</t>
  </si>
  <si>
    <t>200-1</t>
  </si>
  <si>
    <t>Di chuyển vật liệu mới (đùn)</t>
  </si>
  <si>
    <t>200-2</t>
  </si>
  <si>
    <t>Di chuyển máy phế phẩm đến máy nghiền</t>
  </si>
  <si>
    <t>200-3</t>
  </si>
  <si>
    <t>Di chuyển bobin lên giá đỡ</t>
  </si>
  <si>
    <t>200-4</t>
  </si>
  <si>
    <t>Di chuyển hủy cục cứng</t>
  </si>
  <si>
    <t>Trọng lượng  (Kg)</t>
  </si>
  <si>
    <t>Hư hỏng thiết bị</t>
  </si>
  <si>
    <t>Cúp điện</t>
  </si>
  <si>
    <t>308-3</t>
  </si>
  <si>
    <t>Điều chỉnh trong quá trình sản xuất</t>
  </si>
  <si>
    <t>Loại máy in</t>
  </si>
  <si>
    <t>Tổng cộng</t>
  </si>
  <si>
    <t>Mực in</t>
  </si>
  <si>
    <t>Trắng</t>
  </si>
  <si>
    <t>Đổi màu, đổi mã sản xuất</t>
  </si>
  <si>
    <t>309-1</t>
  </si>
  <si>
    <t>309-2</t>
  </si>
  <si>
    <t>Lắp đặt máy</t>
  </si>
  <si>
    <t>Khám sức khỏe</t>
  </si>
  <si>
    <t>Kiểm kê</t>
  </si>
  <si>
    <t>Nguyên liệu vệ sinh</t>
  </si>
  <si>
    <t>Phân loại phế phẩm  :  [A1] : Ngoại quan ,  [A2] : Đường kính ngoài lớn,  [A3] : Đường kính ngoài nhỏ ,  [A4] : Không tròn đều</t>
  </si>
  <si>
    <t>Thời gian dừng máy và thời gian thao tác： 　　※ Ngoài những hạng mục ghi bên dưới, vui lòng tham khảo bảng " PHÂN TÍCH THỜI GIAN DỪNG MÁY"</t>
  </si>
  <si>
    <t>HDPE BL6200</t>
  </si>
  <si>
    <t>[103] Chào lễ đầu giờ, [104] Kiểm tra máy, [308-1] Điều chỉnh setup máy，[308-2] Tăng nhiệt độ，[200-1]DI chuyển vật liệu mới(đùn)，[200-3] Di chuyển Bobin lên giá đỡ (đùn)，[200-4] Di chuyển hủy cục cứng</t>
  </si>
  <si>
    <t>LIOCLEAN-Z</t>
  </si>
  <si>
    <t>[308-3]Điều chỉnh trong quá trình sản xuất，[206] Đo độ dày ống trong quá trình sản xuất，[200-2]  Di chuyển vật liệu đến máy nghiền，[300]Hư hỏng Thiết bị，[999] Nguyên nhân khác</t>
  </si>
  <si>
    <t>TI-CLEAN</t>
  </si>
  <si>
    <t>[202] Chờ nguyên vật liệu,linh kiện(lý do kiểm tra), [303]Cúp điện, [305] Chờ sửa, [312] Sự cố hư hỏng các thiết bị phụ trợ, [313] Thời gian thay thế linh kiện khuôn.</t>
  </si>
  <si>
    <t xml:space="preserve"> [307] Đổi màu, đổi mã sản xuất,[309-1] Vệ sinh máy, [309-2] Lắp ráp thiết bị (sau vệ sinh), [102] Khám sức khỏe, [111] Kiểm kê</t>
  </si>
  <si>
    <t>Khối lượng và chiều dài :     TU04 (3140m) = 27 Kg ; TU06 (1475m) = 26.5 Kg ; TU08 (850m) = 30 Kg ; TU10 (520m) = 27 Kg ; TU12 (420m) = 30.5 Kg</t>
  </si>
  <si>
    <t xml:space="preserve">             TIUB01 ( 3140m ) = 17.5 Kg ; TIUB05 ( 1475m) = 17 Kg ; TIUB07 ( 1475m) = 30 Kg ; TIUB11 ( 520m) = 24 Kg ; TIUB13 (320 m) = 26 Kg</t>
  </si>
  <si>
    <t>CTSX:</t>
  </si>
  <si>
    <t>Mã máy</t>
  </si>
  <si>
    <t>PL01</t>
  </si>
  <si>
    <t>PL02</t>
  </si>
  <si>
    <t>PL03</t>
  </si>
  <si>
    <t>PL04</t>
  </si>
  <si>
    <t>PL05</t>
  </si>
  <si>
    <t>PL06</t>
  </si>
  <si>
    <t>PL07</t>
  </si>
  <si>
    <t>PL08</t>
  </si>
  <si>
    <t>PL09</t>
  </si>
  <si>
    <t>PL10</t>
  </si>
  <si>
    <t>PL11</t>
  </si>
  <si>
    <t>PL12</t>
  </si>
  <si>
    <t>PL13</t>
  </si>
  <si>
    <t>PL14</t>
  </si>
  <si>
    <t>PL15</t>
  </si>
  <si>
    <t>PL16</t>
  </si>
  <si>
    <t>PL17</t>
  </si>
  <si>
    <t>PL18</t>
  </si>
  <si>
    <t>PL19</t>
  </si>
  <si>
    <t>PL20</t>
  </si>
  <si>
    <t>PL21</t>
  </si>
  <si>
    <t>PL22</t>
  </si>
  <si>
    <t>PL23</t>
  </si>
  <si>
    <t>PL24</t>
  </si>
  <si>
    <t>02114273</t>
  </si>
  <si>
    <t>Họ và tên</t>
  </si>
  <si>
    <t>Thân Trọng Tuấn</t>
  </si>
  <si>
    <t>Thử nghiệm (nếu thử nghiệm hãy đánh tích)</t>
  </si>
  <si>
    <t>Tốc độ thực tế:Mpm</t>
  </si>
  <si>
    <t>A: Thành phẩm</t>
  </si>
  <si>
    <t>B: Phế phẩm điều chỉnh</t>
  </si>
  <si>
    <t>C: Nguyên liệu NG</t>
  </si>
  <si>
    <t>D: Nguyên liệu hủy</t>
  </si>
  <si>
    <t>Trọng lượng  =A+B+D</t>
  </si>
  <si>
    <t>Size</t>
  </si>
  <si>
    <t>BOM</t>
  </si>
  <si>
    <r>
      <t xml:space="preserve">Vệ sinh máy </t>
    </r>
    <r>
      <rPr>
        <sz val="9"/>
        <color rgb="FFFF0000"/>
        <rFont val="Arial"/>
        <family val="2"/>
      </rPr>
      <t>(nhập khối lượng chất vệ sinh nếu vệ sinh máy)</t>
    </r>
  </si>
  <si>
    <t>Chờ xả/ đổi lot liệu nếu vật liệu lỗi</t>
  </si>
  <si>
    <t>DỮ LIỆU BÁO CÁO HÀNG SẢN XUẤT</t>
  </si>
  <si>
    <t>Ngày Nhập</t>
  </si>
  <si>
    <t>Ngày SX</t>
  </si>
  <si>
    <t>Mã nhân viên</t>
  </si>
  <si>
    <t>Tên  nhân viên</t>
  </si>
  <si>
    <t>Ca</t>
  </si>
  <si>
    <t>Mã CTSX</t>
  </si>
  <si>
    <t>Mã sản phẩm</t>
  </si>
  <si>
    <t>Công đoạn</t>
  </si>
  <si>
    <t>Mã thiết bị</t>
  </si>
  <si>
    <t>Thành phẩm (M)</t>
  </si>
  <si>
    <t>Khối lượng thành phẩm (KG)</t>
  </si>
  <si>
    <t>Khối lượng NG (KG)</t>
  </si>
  <si>
    <t>Khối lượng cứng (KG)</t>
  </si>
  <si>
    <t>Tổng KL</t>
  </si>
  <si>
    <t>Mã Vật Liệu</t>
  </si>
  <si>
    <t>Số lần VL nghiền</t>
  </si>
  <si>
    <t>Mã bì VL Nghiền</t>
  </si>
  <si>
    <t>Lot In</t>
  </si>
  <si>
    <t>Tổng t/g dừng máy</t>
  </si>
  <si>
    <t>Thời gian 
chạy máy</t>
  </si>
  <si>
    <t>Thời gian chu kỳ</t>
  </si>
  <si>
    <t>Hiệu suất máy (%)</t>
  </si>
  <si>
    <t>Mã Khuôn</t>
  </si>
  <si>
    <t>Mã Spider</t>
  </si>
  <si>
    <t>Mã SX</t>
  </si>
  <si>
    <t>Thủ nghiệm</t>
  </si>
  <si>
    <t>Loại NVL</t>
  </si>
  <si>
    <t>Nguyên liệu NG</t>
  </si>
  <si>
    <t>HDPE</t>
  </si>
  <si>
    <t>LIO-CLEAN</t>
  </si>
  <si>
    <t>Số bobin PL7-3</t>
  </si>
  <si>
    <t>Số mét PL7-3</t>
  </si>
  <si>
    <t>Số bobin PL4-7</t>
  </si>
  <si>
    <t>Số mét PL4-7</t>
  </si>
  <si>
    <t>Loại mực in</t>
  </si>
  <si>
    <t>入力日</t>
  </si>
  <si>
    <t>製造日</t>
  </si>
  <si>
    <t>社員番号</t>
  </si>
  <si>
    <t>氏名</t>
  </si>
  <si>
    <t>シフト</t>
  </si>
  <si>
    <t>指令コード</t>
  </si>
  <si>
    <t>品番</t>
  </si>
  <si>
    <t>工程</t>
  </si>
  <si>
    <t>管理№</t>
  </si>
  <si>
    <t>完成品</t>
  </si>
  <si>
    <t>完成品のボリューム</t>
  </si>
  <si>
    <t>NGの総体積</t>
  </si>
  <si>
    <t>HARDの総体積</t>
  </si>
  <si>
    <t>総重量</t>
  </si>
  <si>
    <t>素材品番</t>
  </si>
  <si>
    <t>番号 研磨材</t>
  </si>
  <si>
    <t>材料包装コード</t>
  </si>
  <si>
    <t>ロットイン</t>
  </si>
  <si>
    <t>停止合計</t>
  </si>
  <si>
    <t>稼働時間</t>
  </si>
  <si>
    <t>サイクルタイム</t>
  </si>
  <si>
    <t>機械性能</t>
  </si>
  <si>
    <t>金型コード</t>
  </si>
  <si>
    <t>スパイダーコード</t>
  </si>
  <si>
    <t>生産コード</t>
  </si>
  <si>
    <t>Input Date</t>
  </si>
  <si>
    <t>Production Date</t>
  </si>
  <si>
    <t>Employee ID</t>
  </si>
  <si>
    <t>Employee Name</t>
  </si>
  <si>
    <t>Shifts</t>
  </si>
  <si>
    <t>Directive Code</t>
  </si>
  <si>
    <t>Product Code</t>
  </si>
  <si>
    <t>Stages</t>
  </si>
  <si>
    <t>Machine Code</t>
  </si>
  <si>
    <t>Finished Product</t>
  </si>
  <si>
    <t>Finished Product Weight</t>
  </si>
  <si>
    <t>NG Weight</t>
  </si>
  <si>
    <t>Hard Weight</t>
  </si>
  <si>
    <t>Total Weight</t>
  </si>
  <si>
    <t>Material Code</t>
  </si>
  <si>
    <t>Number Grind Materials</t>
  </si>
  <si>
    <t>Material Packaging Code</t>
  </si>
  <si>
    <t>Total Stop Time</t>
  </si>
  <si>
    <t>Machine Time Run</t>
  </si>
  <si>
    <t>Cycle Time</t>
  </si>
  <si>
    <t>Machine Performance</t>
  </si>
  <si>
    <t>Mold Code</t>
  </si>
  <si>
    <t>Spider Code</t>
  </si>
  <si>
    <t>Production Code</t>
  </si>
  <si>
    <t>Trial</t>
  </si>
  <si>
    <t>NG Material</t>
  </si>
  <si>
    <t>Mã khuôn</t>
  </si>
  <si>
    <t>Mã mandrell</t>
  </si>
  <si>
    <t>Hiệu suất máy</t>
  </si>
  <si>
    <t>Thời gian (h)</t>
  </si>
  <si>
    <t>Nghỉ giải lao</t>
  </si>
  <si>
    <t>Lỗi quản lý</t>
  </si>
  <si>
    <t>Lỗi sản xuất</t>
  </si>
  <si>
    <t>Lỗi thiết bị/ điều chỉnh</t>
  </si>
  <si>
    <t>Đổi màu/ vệ sinh</t>
  </si>
  <si>
    <t>Khối lượng TP</t>
  </si>
  <si>
    <t>Lot liệu NG</t>
  </si>
  <si>
    <t>TU1065BU-1MZ2</t>
  </si>
  <si>
    <t>Hàng</t>
  </si>
  <si>
    <t>Loại sản xuất</t>
  </si>
  <si>
    <t xml:space="preserve">Mã sản phẩm </t>
  </si>
  <si>
    <t>CTSX</t>
  </si>
  <si>
    <t>TU1208R2-1MZ2</t>
  </si>
  <si>
    <t>TU0604BU-1MZ2</t>
  </si>
  <si>
    <t>TU0805BU-1MZ2</t>
  </si>
  <si>
    <t>TU0604B-1MZ2</t>
  </si>
  <si>
    <t>TU0805B-1MZ2</t>
  </si>
  <si>
    <t>TU0425B-1MZ2</t>
  </si>
  <si>
    <t>TU0604C-1MZ2</t>
  </si>
  <si>
    <t>TU1065B-1MZ2</t>
  </si>
  <si>
    <t>TU1208BU-1MZ2</t>
  </si>
  <si>
    <t>TU0425BU-1MZ2</t>
  </si>
  <si>
    <t>TU0425C-1MZ2</t>
  </si>
  <si>
    <t>TU0805C-1MZ2</t>
  </si>
  <si>
    <t>TU1065C-1MZ2</t>
  </si>
  <si>
    <t>TU0805W-1MZ2</t>
  </si>
  <si>
    <t>TU0604Y-1MZ2</t>
  </si>
  <si>
    <t>TU1208C-1MZ2</t>
  </si>
  <si>
    <t>TU1610B-1MZ2</t>
  </si>
  <si>
    <t>TU0805Y-1MZ2</t>
  </si>
  <si>
    <t>TU0604G-1MZ2</t>
  </si>
  <si>
    <t>TU1610BU-1MZ2</t>
  </si>
  <si>
    <t>TU0805R-1MZ2</t>
  </si>
  <si>
    <t>TU0425W-1MZ2</t>
  </si>
  <si>
    <t>TU0805BU3-1MZ2</t>
  </si>
  <si>
    <t>TU1208W-1MZ2</t>
  </si>
  <si>
    <t>TU1065W-1MZ2</t>
  </si>
  <si>
    <t>TU0425R-1MZ2</t>
  </si>
  <si>
    <t>TU1208R-1MZ2</t>
  </si>
  <si>
    <t>TU1065R-1MZ2</t>
  </si>
  <si>
    <t>TU0604BU2-1MZ2</t>
  </si>
  <si>
    <t>TU1610C-1MZ2</t>
  </si>
  <si>
    <t>TU1208Y-1MZ2</t>
  </si>
  <si>
    <t>TU0425Y-1MZ2</t>
  </si>
  <si>
    <t>TU0805G-1MZ2</t>
  </si>
  <si>
    <t>TU1065BU3-1MZ2</t>
  </si>
  <si>
    <t>TU1065Y-1MZ2</t>
  </si>
  <si>
    <t>TIUB11BU-1MZ2</t>
  </si>
  <si>
    <t>TU1208BU3-1MZ2</t>
  </si>
  <si>
    <t>TU0604S1-1MZ2</t>
  </si>
  <si>
    <t>TU0805BU1-1MZ2</t>
  </si>
  <si>
    <t>TU1065BU2-1MZ2</t>
  </si>
  <si>
    <t>TIUB13B-1MZ2</t>
  </si>
  <si>
    <t>TIUB07B-1MZ2</t>
  </si>
  <si>
    <t>TU0805S1-1MZ2</t>
  </si>
  <si>
    <t>TU1065G-1MZ2</t>
  </si>
  <si>
    <t>TU1610BU3-1MZ2</t>
  </si>
  <si>
    <t>TU1610Y-1MZ2</t>
  </si>
  <si>
    <t>TU1610R-1MZ2</t>
  </si>
  <si>
    <t>TIUB11B-1MZ2</t>
  </si>
  <si>
    <t>TU0604R2-1MZ2</t>
  </si>
  <si>
    <t>TIUB11C-1MZ2</t>
  </si>
  <si>
    <t>TU1065S1-1MZ2</t>
  </si>
  <si>
    <t>TIUB07R1-1MZ2</t>
  </si>
  <si>
    <t>TU0425</t>
  </si>
  <si>
    <t>TU0604</t>
  </si>
  <si>
    <t>TU0805</t>
  </si>
  <si>
    <t>TU1065</t>
  </si>
  <si>
    <t>TU1208</t>
  </si>
  <si>
    <t>TIUB01</t>
  </si>
  <si>
    <t>TIUB05</t>
  </si>
  <si>
    <t>TIUB07</t>
  </si>
  <si>
    <t>TIUB11</t>
  </si>
  <si>
    <t>TIUB13</t>
  </si>
  <si>
    <t>TU1610</t>
  </si>
  <si>
    <t>TU1611</t>
  </si>
  <si>
    <t>Mã lỗi</t>
  </si>
  <si>
    <t>Máy đang chạy</t>
  </si>
  <si>
    <t>Dữ Liệu Thời Gian Dừng Máy</t>
  </si>
  <si>
    <t>Màu ống</t>
  </si>
  <si>
    <t>YR2</t>
  </si>
  <si>
    <t>Đen</t>
  </si>
  <si>
    <t>YR1</t>
  </si>
  <si>
    <t>Y2</t>
  </si>
  <si>
    <t>Y3</t>
  </si>
  <si>
    <t>Y1</t>
  </si>
  <si>
    <t>S1</t>
  </si>
  <si>
    <t>R2</t>
  </si>
  <si>
    <t>PU2</t>
  </si>
  <si>
    <t>R1</t>
  </si>
  <si>
    <t>PU1</t>
  </si>
  <si>
    <t>P1</t>
  </si>
  <si>
    <t>GR2</t>
  </si>
  <si>
    <t>GR1</t>
  </si>
  <si>
    <t>G4</t>
  </si>
  <si>
    <t>G3</t>
  </si>
  <si>
    <t>G2</t>
  </si>
  <si>
    <t>G1</t>
  </si>
  <si>
    <t>BU3</t>
  </si>
  <si>
    <t>BR1</t>
  </si>
  <si>
    <t>YR</t>
  </si>
  <si>
    <t>BU2</t>
  </si>
  <si>
    <t>BU1</t>
  </si>
  <si>
    <t>C</t>
  </si>
  <si>
    <t>Y</t>
  </si>
  <si>
    <t>G</t>
  </si>
  <si>
    <t>BU</t>
  </si>
  <si>
    <t>R</t>
  </si>
  <si>
    <t>W</t>
  </si>
  <si>
    <t>B</t>
  </si>
  <si>
    <t>Mã</t>
  </si>
  <si>
    <t>Màu mực</t>
  </si>
  <si>
    <t>Thời gian con người</t>
  </si>
  <si>
    <t>Ghi chép các phiếu sản xuất/ nhập báo cáo</t>
  </si>
  <si>
    <t>2.7 Lỗi chiller</t>
  </si>
  <si>
    <t>2.8 Thiết bị khác</t>
  </si>
  <si>
    <t>Thay gear/ vệ sinh gear</t>
  </si>
  <si>
    <t>309-3</t>
  </si>
  <si>
    <t>Nguyên nhân khác/ công việc khác</t>
  </si>
  <si>
    <t>Kiểm tra TG máy</t>
  </si>
  <si>
    <t>Kiểm tra TG con người</t>
  </si>
  <si>
    <t>TG máy thực tế</t>
  </si>
  <si>
    <t>01920589</t>
  </si>
  <si>
    <t>01920598</t>
  </si>
  <si>
    <t>01920668</t>
  </si>
  <si>
    <t>01920862</t>
  </si>
  <si>
    <t>01920871</t>
  </si>
  <si>
    <t>01921551</t>
  </si>
  <si>
    <t>01921560</t>
  </si>
  <si>
    <t>02020390</t>
  </si>
  <si>
    <t>02020488</t>
  </si>
  <si>
    <t>02020497</t>
  </si>
  <si>
    <t>02020947</t>
  </si>
  <si>
    <t>02020965</t>
  </si>
  <si>
    <t>02021131</t>
  </si>
  <si>
    <t>02021159</t>
  </si>
  <si>
    <t>02021210</t>
  </si>
  <si>
    <t>02021627</t>
  </si>
  <si>
    <t>02021742</t>
  </si>
  <si>
    <t>02021964</t>
  </si>
  <si>
    <t>02022149</t>
  </si>
  <si>
    <t>02022158</t>
  </si>
  <si>
    <t>02121705</t>
  </si>
  <si>
    <t>02220255</t>
  </si>
  <si>
    <t>02221892</t>
  </si>
  <si>
    <t>02221908</t>
  </si>
  <si>
    <t>02222785</t>
  </si>
  <si>
    <t>02223535</t>
  </si>
  <si>
    <t>02224288</t>
  </si>
  <si>
    <t>02224367</t>
  </si>
  <si>
    <t>02226596</t>
  </si>
  <si>
    <t>02227708</t>
  </si>
  <si>
    <t>02227717</t>
  </si>
  <si>
    <t>02222332</t>
  </si>
  <si>
    <t>02229885</t>
  </si>
  <si>
    <t>02229894</t>
  </si>
  <si>
    <t>02241656</t>
  </si>
  <si>
    <t>02243991</t>
  </si>
  <si>
    <t>02325295</t>
  </si>
  <si>
    <t>02325301</t>
  </si>
  <si>
    <t>02325310</t>
  </si>
  <si>
    <t>02325365</t>
  </si>
  <si>
    <t>02325374</t>
  </si>
  <si>
    <t>02228947</t>
  </si>
  <si>
    <t>02224358</t>
  </si>
  <si>
    <t>02229876</t>
  </si>
  <si>
    <t>Nguyễn Ngọc Thiện</t>
  </si>
  <si>
    <t>Trịnh Minh Thiện</t>
  </si>
  <si>
    <t>Hà Viết Thế Thiện</t>
  </si>
  <si>
    <t>Nguyễn Khắc Kiên</t>
  </si>
  <si>
    <t>Xa Minh Hiếu</t>
  </si>
  <si>
    <t>Trương Quang Nghĩa</t>
  </si>
  <si>
    <t>Trần Quang Hiệu</t>
  </si>
  <si>
    <t>Võ Thiên Tuế</t>
  </si>
  <si>
    <t>Lê Thanh Trúc</t>
  </si>
  <si>
    <t>Vũ Nhân Tài</t>
  </si>
  <si>
    <t>Nguyễn Hoàng Duy</t>
  </si>
  <si>
    <t>Hà Xuân Tiến</t>
  </si>
  <si>
    <t>Nguyễn Công Anh</t>
  </si>
  <si>
    <t>Trần Vương</t>
  </si>
  <si>
    <t>Phan Ngọc Trọng</t>
  </si>
  <si>
    <t>Lê Đạt Hồng Phúc</t>
  </si>
  <si>
    <t>Nguyễn Ngọc Dũng</t>
  </si>
  <si>
    <t>Hồ Nhựt Trường</t>
  </si>
  <si>
    <t>Nguyễn Xuân Mạnh</t>
  </si>
  <si>
    <t>Bùi Lê Đức Minh</t>
  </si>
  <si>
    <t>Vũ Trúc Phi</t>
  </si>
  <si>
    <t>Nguyễn Đức Sơn</t>
  </si>
  <si>
    <t>Lê Đức Anh Tuấn</t>
  </si>
  <si>
    <t>Nguyễn Minh Hoàng</t>
  </si>
  <si>
    <t>Nguyễn Anh Duy</t>
  </si>
  <si>
    <t>Nguyễn Quốc</t>
  </si>
  <si>
    <t>Võ Văn Dương</t>
  </si>
  <si>
    <t>Ngô Minh Hiếu</t>
  </si>
  <si>
    <t>Đoàn Văn Dương</t>
  </si>
  <si>
    <t>Phạm Việt Khải</t>
  </si>
  <si>
    <t>Thạch Hoàng</t>
  </si>
  <si>
    <t>Lê Chí Khanh</t>
  </si>
  <si>
    <t>Châu Nhựt Anh</t>
  </si>
  <si>
    <t>Nguyễn Hữu Tài</t>
  </si>
  <si>
    <t>Lương Trọng Ân</t>
  </si>
  <si>
    <t>Bùi Quang Chưởng</t>
  </si>
  <si>
    <t>Lưu Văn Đủ</t>
  </si>
  <si>
    <t>Cao Thế Mỹ</t>
  </si>
  <si>
    <t>Nguyễn Công Hậu</t>
  </si>
  <si>
    <t>Trần Minh Nhật</t>
  </si>
  <si>
    <t>Trương Văn Tình</t>
  </si>
  <si>
    <t>Phạm Lê Minh Tân</t>
  </si>
  <si>
    <t>Hoàng Trung Hiếu</t>
  </si>
  <si>
    <t>Bạch Thành Tú</t>
  </si>
  <si>
    <t>BASF</t>
  </si>
  <si>
    <t>Chiều Dài</t>
  </si>
  <si>
    <t>Số bobin</t>
  </si>
  <si>
    <t>TU1208B-1MZ2</t>
  </si>
  <si>
    <t>TU1065G1-1MZ2</t>
  </si>
  <si>
    <t>TU1208YR-1MZ1</t>
  </si>
  <si>
    <t>TIUB01C-1MZ2</t>
  </si>
  <si>
    <t>TU0604YR1-1MZ2</t>
  </si>
  <si>
    <t>TU0425G1-1MZ2</t>
  </si>
  <si>
    <t>TU0604PU1-1MZ2</t>
  </si>
  <si>
    <t>TIUB01B-1MZ2</t>
  </si>
  <si>
    <t>TU1065BU1-1MZ2</t>
  </si>
  <si>
    <t>TU0604G2-1MZ2</t>
  </si>
  <si>
    <t>TU0805R2-1MZ2</t>
  </si>
  <si>
    <t>TU1208BU2-1MZ2</t>
  </si>
  <si>
    <t>TU0425G2-1MZ2</t>
  </si>
  <si>
    <t>TU0805Y2-1MZ2</t>
  </si>
  <si>
    <t>TIUB11R-1MZ2</t>
  </si>
  <si>
    <t>TU1208Y1-1MZ2</t>
  </si>
  <si>
    <t>TU1065R2-1MZ2</t>
  </si>
  <si>
    <t>TU0805YR-1MZ1</t>
  </si>
  <si>
    <t>TU0604YR-1MZ1</t>
  </si>
  <si>
    <t>Nếu mã CT không đúng cập nhật mã CT ở Sheet List</t>
  </si>
  <si>
    <t>Hiệu suất máy và thời gian con người sẽ ảnh hưởng đến đánh giá năng lực. Hãy kiểm tra nhập kỹ</t>
  </si>
  <si>
    <t>300-1</t>
  </si>
  <si>
    <t>300-2</t>
  </si>
  <si>
    <t>300-3</t>
  </si>
  <si>
    <t>300-4</t>
  </si>
  <si>
    <t>300-5</t>
  </si>
  <si>
    <t>300-6</t>
  </si>
  <si>
    <t>300-7</t>
  </si>
  <si>
    <t>300-8</t>
  </si>
  <si>
    <t>308-4</t>
  </si>
  <si>
    <t>308-5</t>
  </si>
  <si>
    <t>308-6</t>
  </si>
  <si>
    <t>308-7</t>
  </si>
  <si>
    <t>308-8</t>
  </si>
  <si>
    <t>308-9</t>
  </si>
  <si>
    <t>308-10</t>
  </si>
  <si>
    <t>308-11</t>
  </si>
  <si>
    <t>307-1</t>
  </si>
  <si>
    <t>307-2</t>
  </si>
  <si>
    <t>Số mét ĐC</t>
  </si>
  <si>
    <t>TG hàng ĐC(giờ:phút)</t>
  </si>
  <si>
    <t>Khối lượng DC</t>
  </si>
  <si>
    <t>DỮ LIỆU BÁO CÁO HÀNG BÙ</t>
  </si>
  <si>
    <t>Dữ Liệu Thời Gian Dừng Máy BÙ</t>
  </si>
  <si>
    <t>TU0604R-1MZ2</t>
  </si>
  <si>
    <t>TU0425G-1MZ2</t>
  </si>
  <si>
    <t>TIUB01BU-1MZ2</t>
  </si>
  <si>
    <t>TIUB07BU-1MZ2</t>
  </si>
  <si>
    <t>TU0604GR1-1MZ2</t>
  </si>
  <si>
    <t>TU0425YR-1MZ1</t>
  </si>
  <si>
    <t>TU1208BU1-1MZ2</t>
  </si>
  <si>
    <t>TU0604Y1-1MZ2</t>
  </si>
  <si>
    <t>TU0604G1-1MZ2</t>
  </si>
  <si>
    <t>TU0604R1-1MZ2</t>
  </si>
  <si>
    <t>TIUB07G-1MZ2</t>
  </si>
  <si>
    <t>TU0805R1-1MZ2</t>
  </si>
  <si>
    <t>TU0805G1-1MZ2</t>
  </si>
  <si>
    <t>TIUB01W-1MZ2</t>
  </si>
  <si>
    <t>TU0604Y2-1MZ2</t>
  </si>
  <si>
    <t>TIUB13BU-1MZ2</t>
  </si>
  <si>
    <t>TIUB13C-1MZ2</t>
  </si>
  <si>
    <t>TU0604P1-1MZ2</t>
  </si>
  <si>
    <t>TU0805YR2-1MZ2</t>
  </si>
  <si>
    <t>TU1065R1-1MZ2</t>
  </si>
  <si>
    <t>TU1610YR-1MZ1</t>
  </si>
  <si>
    <t>TU1610BU2-1MZ2</t>
  </si>
  <si>
    <t>TU1610GR1-1MZ2</t>
  </si>
  <si>
    <t>TIUB07W-1MZ2</t>
  </si>
  <si>
    <t>TIUB13R1-1MZ2</t>
  </si>
  <si>
    <t>TIUB07GR1-1MZ2</t>
  </si>
  <si>
    <t>TIUB07YR1-1MZ2</t>
  </si>
  <si>
    <t>TU1610G1-1MZ2</t>
  </si>
  <si>
    <t>TIUB01R2-1MZ2</t>
  </si>
  <si>
    <t>TIUB13PU1-1MZ2</t>
  </si>
  <si>
    <t>TIUB07GR2-1MZ2</t>
  </si>
  <si>
    <t>TU1065G2-1MZ2</t>
  </si>
  <si>
    <t>TU0604C-1MX214Z2</t>
  </si>
  <si>
    <t>TU0805BU-1MX214Z2</t>
  </si>
  <si>
    <t>TU1065BU-1MX214Z2</t>
  </si>
  <si>
    <t>P250201311</t>
  </si>
  <si>
    <t>P250201312</t>
  </si>
  <si>
    <t>P250201313</t>
  </si>
  <si>
    <t>P250201314</t>
  </si>
  <si>
    <t>P250201315</t>
  </si>
  <si>
    <t>P250201316</t>
  </si>
  <si>
    <t>P250201317</t>
  </si>
  <si>
    <t>P250201318</t>
  </si>
  <si>
    <t>P250201319</t>
  </si>
  <si>
    <t>P250201320</t>
  </si>
  <si>
    <t>P250201321</t>
  </si>
  <si>
    <t>P250201322</t>
  </si>
  <si>
    <t>P250201323</t>
  </si>
  <si>
    <t>P250201324</t>
  </si>
  <si>
    <t>P250201325</t>
  </si>
  <si>
    <t>P250201326</t>
  </si>
  <si>
    <t>P250201327</t>
  </si>
  <si>
    <t>P250201328</t>
  </si>
  <si>
    <t>P250201329</t>
  </si>
  <si>
    <t>P250201330</t>
  </si>
  <si>
    <t>P250201331</t>
  </si>
  <si>
    <t>P250201332</t>
  </si>
  <si>
    <t>P250201333</t>
  </si>
  <si>
    <t>P250201334</t>
  </si>
  <si>
    <t>P250201335</t>
  </si>
  <si>
    <t>P250201336</t>
  </si>
  <si>
    <t>P250201337</t>
  </si>
  <si>
    <t>P250201338</t>
  </si>
  <si>
    <t>P250201339</t>
  </si>
  <si>
    <t>P250201340</t>
  </si>
  <si>
    <t>P250201341</t>
  </si>
  <si>
    <t>P250201342</t>
  </si>
  <si>
    <t>P250201343</t>
  </si>
  <si>
    <t>P250201344</t>
  </si>
  <si>
    <t>P250201345</t>
  </si>
  <si>
    <t>P250201346</t>
  </si>
  <si>
    <t>P250201347</t>
  </si>
  <si>
    <t>P250201348</t>
  </si>
  <si>
    <t>P250201349</t>
  </si>
  <si>
    <t>P250201350</t>
  </si>
  <si>
    <t>P250201351</t>
  </si>
  <si>
    <t>P250201352</t>
  </si>
  <si>
    <t>P250201353</t>
  </si>
  <si>
    <t>P250201354</t>
  </si>
  <si>
    <t>P250201355</t>
  </si>
  <si>
    <t>P250201356</t>
  </si>
  <si>
    <t>P250201357</t>
  </si>
  <si>
    <t>P250201358</t>
  </si>
  <si>
    <t>P250201359</t>
  </si>
  <si>
    <t>P250201360</t>
  </si>
  <si>
    <t>P250201361</t>
  </si>
  <si>
    <t>P250201362</t>
  </si>
  <si>
    <t>P250201363</t>
  </si>
  <si>
    <t>P250201364</t>
  </si>
  <si>
    <t>P250201365</t>
  </si>
  <si>
    <t>P250201366</t>
  </si>
  <si>
    <t>P250201367</t>
  </si>
  <si>
    <t>P250201368</t>
  </si>
  <si>
    <t>P250201369</t>
  </si>
  <si>
    <t>P250201370</t>
  </si>
  <si>
    <t>P250201371</t>
  </si>
  <si>
    <t>P250201372</t>
  </si>
  <si>
    <t>P250201373</t>
  </si>
  <si>
    <t>P250201374</t>
  </si>
  <si>
    <t>P250201375</t>
  </si>
  <si>
    <t>P250201376</t>
  </si>
  <si>
    <t>P250201377</t>
  </si>
  <si>
    <t>P250201378</t>
  </si>
  <si>
    <t>P250201379</t>
  </si>
  <si>
    <t>P250201380</t>
  </si>
  <si>
    <t>P250201381</t>
  </si>
  <si>
    <t>P250201382</t>
  </si>
  <si>
    <t>P250201383</t>
  </si>
  <si>
    <t>P250201384</t>
  </si>
  <si>
    <t>P250201385</t>
  </si>
  <si>
    <t>P250201386</t>
  </si>
  <si>
    <t>P250201387</t>
  </si>
  <si>
    <t>P250201388</t>
  </si>
  <si>
    <t>P250201389</t>
  </si>
  <si>
    <t>P250201390</t>
  </si>
  <si>
    <t>P250201391</t>
  </si>
  <si>
    <t>P250201392</t>
  </si>
  <si>
    <t>P250201393</t>
  </si>
  <si>
    <t>P250201394</t>
  </si>
  <si>
    <t>P250201395</t>
  </si>
  <si>
    <t>P250201396</t>
  </si>
  <si>
    <t>P250201397</t>
  </si>
  <si>
    <t>P250201398</t>
  </si>
  <si>
    <t>P250201399</t>
  </si>
  <si>
    <t>P250201400</t>
  </si>
  <si>
    <t>P250201401</t>
  </si>
  <si>
    <t>P250201402</t>
  </si>
  <si>
    <t>P250201403</t>
  </si>
  <si>
    <t>P250201404</t>
  </si>
  <si>
    <t>P250201405</t>
  </si>
  <si>
    <t>P250201406</t>
  </si>
  <si>
    <t>P250201407</t>
  </si>
  <si>
    <t>P250201408</t>
  </si>
  <si>
    <t>P250201409</t>
  </si>
  <si>
    <t>P250201410</t>
  </si>
  <si>
    <t>P250201304</t>
  </si>
  <si>
    <t>P250201305</t>
  </si>
  <si>
    <t>P250201306</t>
  </si>
  <si>
    <t>P250201307</t>
  </si>
  <si>
    <t>P250201308</t>
  </si>
  <si>
    <t>P250201309</t>
  </si>
  <si>
    <t>P250201310</t>
  </si>
  <si>
    <t>`</t>
  </si>
  <si>
    <t>308-3: Lấy gèn</t>
  </si>
  <si>
    <t>308-4: Chân không không ổn định</t>
  </si>
  <si>
    <t>308-5: Điều chỉnh con lăn</t>
  </si>
  <si>
    <t>308-6: Thay vòng ring</t>
  </si>
  <si>
    <t>308-7: Bất định</t>
  </si>
  <si>
    <t>308-8: Biểu đồ xấu</t>
  </si>
  <si>
    <t>308-9: Gel</t>
  </si>
  <si>
    <t>308-10: Dị vật</t>
  </si>
  <si>
    <t>308-11: Thử nghiệm/ test</t>
  </si>
  <si>
    <t>307-1: Đổi màu</t>
  </si>
  <si>
    <t>307-2: Đổi size</t>
  </si>
  <si>
    <t>300-8: Thiết bị khác</t>
  </si>
  <si>
    <t>300-7: Lỗi chiller</t>
  </si>
  <si>
    <t>300-6: Máy sấy</t>
  </si>
  <si>
    <t>300-5: Xì nhựa</t>
  </si>
  <si>
    <t>300-1: Lỗi máy kéo</t>
  </si>
  <si>
    <t>300-2: Lỗi máy cuộn</t>
  </si>
  <si>
    <t>300-3: Lỗi máy in</t>
  </si>
  <si>
    <t>300-4: Sập trục</t>
  </si>
  <si>
    <t>02021645</t>
  </si>
  <si>
    <t>Trịnh Xuân Tỉnh</t>
  </si>
  <si>
    <t>QUY TRÌNH SỬ DỤNG MÁY SHOT</t>
  </si>
  <si>
    <t>NGƯỜI CHẠY MÁY ĐÙN KHI SỬ DỤNG MÁY SHOT</t>
  </si>
  <si>
    <t>THAY CÁT</t>
  </si>
  <si>
    <t>TRƯỞNG NHÓM XÁC NHẬN</t>
  </si>
  <si>
    <t>LƯU VÀO BÁO CÁO BÀN GIAO LẠI CHO BỘ PHẬN ĐẢM TRÁCH MÁY SHOT</t>
  </si>
  <si>
    <t>SHOT KHUÔN</t>
  </si>
  <si>
    <t>SHOT GEAR</t>
  </si>
  <si>
    <t>SHOT TRỤC VÍT</t>
  </si>
  <si>
    <t>XẢY RA VẤN ĐỀ</t>
  </si>
  <si>
    <t>02526423</t>
  </si>
  <si>
    <t>Âu Nguyễn Hưng</t>
  </si>
  <si>
    <t>Extrusion</t>
  </si>
  <si>
    <t>A200</t>
  </si>
  <si>
    <t>Ca 2</t>
  </si>
  <si>
    <t>02526414</t>
  </si>
  <si>
    <t>Nguyễn Văn Lực</t>
  </si>
  <si>
    <t>KHÔNG XÓA CỘT MÀU VÀNG</t>
  </si>
  <si>
    <t>DIC</t>
  </si>
  <si>
    <t>Nguyễn Huỳnh Quốc An</t>
  </si>
  <si>
    <t>02544094</t>
  </si>
  <si>
    <t>Hang DC</t>
  </si>
  <si>
    <t>TUMD-BU</t>
  </si>
  <si>
    <t>VLN</t>
  </si>
  <si>
    <t>Ca 3</t>
  </si>
  <si>
    <t>Hang Bu</t>
  </si>
  <si>
    <t>Hàng Bù</t>
  </si>
  <si>
    <t>ĐOÀN VĂN DƯƠNG</t>
  </si>
  <si>
    <t>MA-4</t>
  </si>
  <si>
    <t>DA-4</t>
  </si>
  <si>
    <t>Ca 1</t>
  </si>
  <si>
    <t xml:space="preserve">TU0805BU-1MZ2 </t>
  </si>
  <si>
    <t>TU1208YR-1MZ2</t>
  </si>
  <si>
    <t>AF21617W2</t>
  </si>
  <si>
    <t>34N1250096</t>
  </si>
  <si>
    <t>TU1208R1-1MZ2</t>
  </si>
  <si>
    <t>TUMD-C</t>
  </si>
  <si>
    <t>TIUB07R-1MZ2</t>
  </si>
  <si>
    <t>TIUB07BU2-1MZ2</t>
  </si>
  <si>
    <t xml:space="preserve"> nhb Mã thiết bị</t>
  </si>
  <si>
    <t>AF21791W2</t>
  </si>
  <si>
    <t>-</t>
  </si>
  <si>
    <t>TU0604BU3-1MZ2</t>
  </si>
  <si>
    <t>P_NT_202668212739</t>
  </si>
  <si>
    <t>TIUB07C-1MZ2</t>
  </si>
  <si>
    <t>AF21923W2</t>
  </si>
  <si>
    <t>TU0604W-1MZ2</t>
  </si>
  <si>
    <t>34N1250131</t>
  </si>
  <si>
    <t>AF21749W2</t>
  </si>
  <si>
    <t>34N1250072</t>
  </si>
  <si>
    <t>34N1250061</t>
  </si>
  <si>
    <t xml:space="preserve">TU0805W-1MZ2 </t>
  </si>
  <si>
    <t>AF21976W2</t>
  </si>
  <si>
    <t>P_NT_2026615135415</t>
  </si>
  <si>
    <t>P_NT_2026615135554</t>
  </si>
  <si>
    <t>AF21998</t>
  </si>
  <si>
    <t>P_NT_2026615135722</t>
  </si>
  <si>
    <t>34N1250109</t>
  </si>
  <si>
    <t>ADETo</t>
  </si>
  <si>
    <t>P_NT_2026615203736</t>
  </si>
  <si>
    <t>P_NT_2026615205717</t>
  </si>
  <si>
    <t>AF21888W2</t>
  </si>
  <si>
    <t>DAETo</t>
  </si>
  <si>
    <t>P_NT_202661521330</t>
  </si>
  <si>
    <t>EAETo</t>
  </si>
  <si>
    <t>P_NT_202661521425</t>
  </si>
  <si>
    <t>P_NT_2026615213113</t>
  </si>
  <si>
    <t>P_NT_2026615213151</t>
  </si>
  <si>
    <t>P_NT_2026615213430</t>
  </si>
  <si>
    <t>TIUB13BU</t>
  </si>
  <si>
    <t>P_NT_202661521367</t>
  </si>
  <si>
    <t>P_NT_2026615215134</t>
  </si>
  <si>
    <t>P_NT_202661521533</t>
  </si>
  <si>
    <t>TU0425BU2-1MZ2</t>
  </si>
  <si>
    <t>P_NT_202661635543</t>
  </si>
  <si>
    <t>9DETo</t>
  </si>
  <si>
    <t>P_NT_202661651352</t>
  </si>
  <si>
    <t>P_NT_202661651628</t>
  </si>
  <si>
    <t>P_NT_202661652353</t>
  </si>
  <si>
    <t>AF21269UCW2</t>
  </si>
  <si>
    <t>P_NT_202661654139</t>
  </si>
  <si>
    <t>P_NT_202661654238</t>
  </si>
  <si>
    <t>P_NT_202661654341</t>
  </si>
  <si>
    <t>P_NT_202661654810</t>
  </si>
  <si>
    <t>P_NT_2026616122222</t>
  </si>
  <si>
    <t>P_NT_2026616122620</t>
  </si>
  <si>
    <t>TU0604W-01MZ2</t>
  </si>
  <si>
    <t>P_NT_2026616122930</t>
  </si>
  <si>
    <t>P_NT_2026616123914</t>
  </si>
  <si>
    <t>34N125010</t>
  </si>
  <si>
    <t>P_NT_2026616131141</t>
  </si>
  <si>
    <t>34N1250065</t>
  </si>
  <si>
    <t>9DETP</t>
  </si>
  <si>
    <t>P_NT_2026616133440</t>
  </si>
  <si>
    <t>F21951W2</t>
  </si>
  <si>
    <t>P_NT_2026616134127</t>
  </si>
  <si>
    <t>PL20(6:40,7:02,9:30,9:50,10:50)</t>
  </si>
  <si>
    <t>PL17 (13:20)</t>
  </si>
  <si>
    <t>PL17 (6:25, 7:00, 7:50, 8:30)</t>
  </si>
  <si>
    <t>P_NT_2026616153312</t>
  </si>
  <si>
    <t>P_NT_2026616165044</t>
  </si>
  <si>
    <t>P_NT_2026616184130</t>
  </si>
  <si>
    <t>TU1610PU2-1MZ2</t>
  </si>
  <si>
    <t>P_NT_2026616184328</t>
  </si>
  <si>
    <t>AF21997W2</t>
  </si>
  <si>
    <t>GAETP</t>
  </si>
  <si>
    <t>P_NT_202661620253</t>
  </si>
  <si>
    <t>P_NT_2026616201034</t>
  </si>
  <si>
    <t>34N1230032</t>
  </si>
  <si>
    <t>P_NT_202661621238</t>
  </si>
  <si>
    <t>AF2170043</t>
  </si>
  <si>
    <t>P_NT_202661621348</t>
  </si>
  <si>
    <t>P_NT_202661621719</t>
  </si>
  <si>
    <t>P_NT_202661621832</t>
  </si>
  <si>
    <t>P_NT_2026616211151</t>
  </si>
  <si>
    <t>P_NT_2026616211912</t>
  </si>
  <si>
    <t>P_NT_202661742434</t>
  </si>
  <si>
    <t>P_NT_202661742826</t>
  </si>
  <si>
    <t>P_NT_202661743217</t>
  </si>
  <si>
    <t>P_NT_202661743724</t>
  </si>
  <si>
    <t>P_NT_202661743817</t>
  </si>
  <si>
    <t>P_NT_202661743928</t>
  </si>
  <si>
    <t>P_NT_20266174558</t>
  </si>
  <si>
    <t>P_NT_20266175711</t>
  </si>
  <si>
    <t>AF21259UCW2</t>
  </si>
  <si>
    <t>P_NT_202661752110</t>
  </si>
  <si>
    <t>AF21259W2</t>
  </si>
  <si>
    <t>P_NT_2026617122540</t>
  </si>
  <si>
    <t>P_NT_2026617123650</t>
  </si>
  <si>
    <t>PL11 (9:00, 7:00)</t>
  </si>
  <si>
    <t>TU0604BU1-1MZ2</t>
  </si>
  <si>
    <t>P_NT_2026617123936</t>
  </si>
  <si>
    <t>PL11 ( 11:30 .12:30 )</t>
  </si>
  <si>
    <t>P_NT_202661713244</t>
  </si>
  <si>
    <t>PL22 (08:00)</t>
  </si>
  <si>
    <t>PL02 (09:38)</t>
  </si>
  <si>
    <t>P_NT_202661713936</t>
  </si>
  <si>
    <t>PL14 (8:15)</t>
  </si>
  <si>
    <t>P_NT_2026617134918</t>
  </si>
  <si>
    <t>PL03 (13:00)</t>
  </si>
  <si>
    <t>P_NT_2026617135117</t>
  </si>
  <si>
    <t>PL19 (8:00)</t>
  </si>
  <si>
    <t>P_NT_2026617135432</t>
  </si>
  <si>
    <t>P_NT_2026617135528</t>
  </si>
  <si>
    <t>P_NT_202661713568</t>
  </si>
  <si>
    <t xml:space="preserve">TU0425BU-1MZ2 </t>
  </si>
  <si>
    <t>P_NT_2026617135658</t>
  </si>
  <si>
    <t>PL15 (10:50)</t>
  </si>
  <si>
    <t>PL15(12:30)</t>
  </si>
  <si>
    <t>PL15 (6:30)</t>
  </si>
  <si>
    <t>PL08 (6:50)</t>
  </si>
  <si>
    <t>P_NT_2026617135943</t>
  </si>
  <si>
    <t>PL09 (9:00)</t>
  </si>
  <si>
    <t>GAETQ</t>
  </si>
  <si>
    <t>P_NT_2026617184130</t>
  </si>
  <si>
    <t>P_NT_2026617184219</t>
  </si>
  <si>
    <t>P_NT_202661719565</t>
  </si>
  <si>
    <t>P_NT_2026617195657</t>
  </si>
  <si>
    <t>FAETQ</t>
  </si>
  <si>
    <t>P_NT_2026617203259</t>
  </si>
  <si>
    <t>ADETQ</t>
  </si>
  <si>
    <t>P_NT_2026617205533</t>
  </si>
  <si>
    <t>34N1230078</t>
  </si>
  <si>
    <t>P_NT_2026617205655</t>
  </si>
  <si>
    <t>P_NT_2026617211559</t>
  </si>
  <si>
    <t>P_NT_2026617212948</t>
  </si>
  <si>
    <t>HDETQ</t>
  </si>
  <si>
    <t>P_NT_2026617214010</t>
  </si>
  <si>
    <t>P_NT_202661721418</t>
  </si>
  <si>
    <t>AF21849W2</t>
  </si>
  <si>
    <t>KAETQ</t>
  </si>
  <si>
    <t>D16-1</t>
  </si>
  <si>
    <t>M16-1</t>
  </si>
  <si>
    <t>P_NT_20266184835</t>
  </si>
  <si>
    <t>VÕ VĂN DƯƠNG</t>
  </si>
  <si>
    <t>P_NT_20266185152</t>
  </si>
  <si>
    <t>P_NT_2026618121836</t>
  </si>
  <si>
    <t>PL10 (10:30)</t>
  </si>
  <si>
    <t>P_NT_2026618131748</t>
  </si>
  <si>
    <t>PL02 (13:15)</t>
  </si>
  <si>
    <t>PL09 (6:30, 8:00, 11:30, 12:00)</t>
  </si>
  <si>
    <t>PL16 (8:30)</t>
  </si>
  <si>
    <t>PL14 (13:50)</t>
  </si>
  <si>
    <t>34N1250125</t>
  </si>
  <si>
    <t>HDETR</t>
  </si>
  <si>
    <t>AF20100W2</t>
  </si>
  <si>
    <t>PL19 (14:35)  (16:25)</t>
  </si>
  <si>
    <t>PL22 (20:30)</t>
  </si>
  <si>
    <t>4CETR</t>
  </si>
  <si>
    <t>PL02 (14:00)</t>
  </si>
  <si>
    <t>KAETR</t>
  </si>
  <si>
    <t>P_NT_202661941130</t>
  </si>
  <si>
    <t>P_NT_202661944654</t>
  </si>
  <si>
    <t>P_NT_20266194484</t>
  </si>
  <si>
    <t>iAETR</t>
  </si>
  <si>
    <t>P_NT_202661945245</t>
  </si>
  <si>
    <t>PL18(22:30,0:00,4:40)</t>
  </si>
  <si>
    <t>34N1250122</t>
  </si>
  <si>
    <t>9DETR</t>
  </si>
  <si>
    <t>P_NT_20266194557</t>
  </si>
  <si>
    <t>P_NT_202661945552</t>
  </si>
  <si>
    <t>CDETR</t>
  </si>
  <si>
    <t>P_NT_202661945828</t>
  </si>
  <si>
    <t>P_NT_20266195142</t>
  </si>
  <si>
    <t>P_NT_20266195151</t>
  </si>
  <si>
    <t>P_NT_20266195243</t>
  </si>
  <si>
    <t>P_NT_202661911347</t>
  </si>
  <si>
    <t>PL02 (11:30)</t>
  </si>
  <si>
    <t>P_NT_2026619113551</t>
  </si>
  <si>
    <t>PL22 (08:45)</t>
  </si>
  <si>
    <t>PL02 (09:15)</t>
  </si>
  <si>
    <t>PL22 (10:15)</t>
  </si>
  <si>
    <t>P_NT_2026619122216</t>
  </si>
  <si>
    <t>PL17 (11:40. 9:10)</t>
  </si>
  <si>
    <t>PL09 (6:30, 7:00, 12:10)</t>
  </si>
  <si>
    <t>P_NT_2026619131010</t>
  </si>
  <si>
    <t>P_NT_202661913121</t>
  </si>
  <si>
    <t>P_NT_2026619131748</t>
  </si>
  <si>
    <t>PL18(8:00)</t>
  </si>
  <si>
    <t>34N1250124</t>
  </si>
  <si>
    <t>ADETS</t>
  </si>
  <si>
    <t>HDETS</t>
  </si>
  <si>
    <t>BBETS</t>
  </si>
  <si>
    <t>KAETS</t>
  </si>
  <si>
    <t>P_NT_2026619134748</t>
  </si>
  <si>
    <t>PL11 (12:50)</t>
  </si>
  <si>
    <t>P_NT_202661914313</t>
  </si>
  <si>
    <t xml:space="preserve">TU0425B-1MZ2 </t>
  </si>
  <si>
    <t>P_NT_20266191444</t>
  </si>
  <si>
    <t>PL08 (7:45)</t>
  </si>
  <si>
    <t>PL08 (11:30)</t>
  </si>
  <si>
    <t>P_NT_2026619204355</t>
  </si>
  <si>
    <t>PL03 (15:30,19:30)</t>
  </si>
  <si>
    <t>P_NT_2026619204641</t>
  </si>
  <si>
    <t>PL20 (18:10,19:25)</t>
  </si>
  <si>
    <t>PL09 (17:20,18:50)</t>
  </si>
  <si>
    <t>P_NT_202661921415</t>
  </si>
  <si>
    <t>AF217993</t>
  </si>
  <si>
    <t>P_NT_20266192158</t>
  </si>
  <si>
    <t>PL07 ( 17:45 )</t>
  </si>
  <si>
    <t>PL16 (18:45)</t>
  </si>
  <si>
    <t>P_NT_2026619211130</t>
  </si>
  <si>
    <t>PL08  ( 14:35)</t>
  </si>
  <si>
    <t>T1065C-1MX214Z2</t>
  </si>
  <si>
    <t>P_NT_2026619212018</t>
  </si>
  <si>
    <t>P_NT_2026619212157</t>
  </si>
  <si>
    <t>P_NT_2026619212316</t>
  </si>
  <si>
    <t>P_NT_2026619212444</t>
  </si>
  <si>
    <t>P_NT_2026619212530</t>
  </si>
  <si>
    <t>P_NT_202662044047</t>
  </si>
  <si>
    <t>P_NT_20266204556</t>
  </si>
  <si>
    <t>P_NT_202662045624</t>
  </si>
  <si>
    <t>AF21749</t>
  </si>
  <si>
    <t>P_NT_20266205546</t>
  </si>
  <si>
    <t>SA-5</t>
  </si>
  <si>
    <t>MA-5</t>
  </si>
  <si>
    <t>P_NT_202662052828</t>
  </si>
  <si>
    <t>PL11(23:50&gt;0:20)</t>
  </si>
  <si>
    <t>PL11(1:20&gt;1:50)</t>
  </si>
  <si>
    <t>PL11(1:45&gt;2:15)</t>
  </si>
  <si>
    <t>PL08 5;20</t>
  </si>
  <si>
    <t>PL15 2;15</t>
  </si>
  <si>
    <t>P_NT_202662012337</t>
  </si>
  <si>
    <t>P_NT_2026620124259</t>
  </si>
  <si>
    <t>PL07 (8:00)</t>
  </si>
  <si>
    <t>PL09( 6:15 , 10:10 , 12:10)</t>
  </si>
  <si>
    <t>P_NT_202662012512</t>
  </si>
  <si>
    <t>PL02 (8:15,9:15)</t>
  </si>
  <si>
    <t>P_NT_2026620125242</t>
  </si>
  <si>
    <t>PL22 (07:00)</t>
  </si>
  <si>
    <t>P_NT_2026620133054</t>
  </si>
  <si>
    <t>PL03 (9:30,10:00,10:30)</t>
  </si>
  <si>
    <t>P_NT_2026620133535</t>
  </si>
  <si>
    <t>P_NT_2026620133630</t>
  </si>
  <si>
    <t>PL20(7:30,9:00,9:20)</t>
  </si>
  <si>
    <t>PL18(9:00,9:15,12:20)</t>
  </si>
  <si>
    <t>PL14 (8:30)</t>
  </si>
  <si>
    <t>PL16 (9:40)</t>
  </si>
  <si>
    <t xml:space="preserve">TU0425C-1MZ2 </t>
  </si>
  <si>
    <t>P_NT_202662014236</t>
  </si>
  <si>
    <t>P_NT_202662014331</t>
  </si>
  <si>
    <t>PL08 (11:15)</t>
  </si>
  <si>
    <t>PL15 (06:50)</t>
  </si>
  <si>
    <t>PL09(14:10,15:30)</t>
  </si>
  <si>
    <t>DAETT</t>
  </si>
  <si>
    <t>P_NT_202662017401</t>
  </si>
  <si>
    <t>PL11 (15:55,16:30)</t>
  </si>
  <si>
    <t>P_NT_2026620185159</t>
  </si>
  <si>
    <t>PL03(15:55,17:25)</t>
  </si>
  <si>
    <t>P_NT_2026620203317</t>
  </si>
  <si>
    <t>P_NT_2026620204155</t>
  </si>
  <si>
    <t>P_NT_202662021323</t>
  </si>
  <si>
    <t>PL19 (19:50 20:35)</t>
  </si>
  <si>
    <t>GAETT</t>
  </si>
  <si>
    <t>P_NT_202662021343</t>
  </si>
  <si>
    <t>P_NT_202662131450</t>
  </si>
  <si>
    <t>34N1250147</t>
  </si>
  <si>
    <t>P_NT_202662144947</t>
  </si>
  <si>
    <t>P_NT_20266221337</t>
  </si>
  <si>
    <t>P_NT_202662213424</t>
  </si>
  <si>
    <t>P_NT_202662213546</t>
  </si>
  <si>
    <t>P_NT_202662213341</t>
  </si>
  <si>
    <t>PL19 (9:25 10:10)</t>
  </si>
  <si>
    <t>HDETV</t>
  </si>
  <si>
    <t>P_NT_2026622133954</t>
  </si>
  <si>
    <t>PL03(12:15)</t>
  </si>
  <si>
    <t>P_NT_2026622205413</t>
  </si>
  <si>
    <t>P_NT_2026622205859</t>
  </si>
  <si>
    <t>P_NT_202662221154</t>
  </si>
  <si>
    <t>PL17(15:30 16:00)</t>
  </si>
  <si>
    <t>P_NT_2026622211444</t>
  </si>
  <si>
    <t>P_NT_2026622211536</t>
  </si>
  <si>
    <t>AF21993W2</t>
  </si>
  <si>
    <t>iAETV</t>
  </si>
  <si>
    <t>P_NT_2026622213442</t>
  </si>
  <si>
    <t>P_NT_202662342434</t>
  </si>
  <si>
    <t>P_NT_202662342746</t>
  </si>
  <si>
    <t>P_NT_202662343317</t>
  </si>
  <si>
    <t>P_NT_202662343349</t>
  </si>
  <si>
    <t>P_NT_202662351413</t>
  </si>
  <si>
    <t>HANG BU</t>
  </si>
  <si>
    <t xml:space="preserve">PL11 </t>
  </si>
  <si>
    <t>PL07( 22:30,23:15,)</t>
  </si>
  <si>
    <t>34N1250140</t>
  </si>
  <si>
    <t>P_NT_202662354855</t>
  </si>
  <si>
    <t>PL18(4:00,5:00)</t>
  </si>
  <si>
    <t xml:space="preserve">PL09 </t>
  </si>
  <si>
    <t>PL22(2:00,5:00)</t>
  </si>
  <si>
    <t>HDETW</t>
  </si>
  <si>
    <t>DA-5</t>
  </si>
  <si>
    <t>P_NT_202662395641</t>
  </si>
  <si>
    <t>PL17( 7:10 )</t>
  </si>
  <si>
    <t>PL09  (6:40,7:40,11:40)</t>
  </si>
  <si>
    <t>PL02(11:15)</t>
  </si>
  <si>
    <t>PL22(08:30)</t>
  </si>
  <si>
    <t>FAETW</t>
  </si>
  <si>
    <t>P_NT_2026623131321</t>
  </si>
  <si>
    <t>GAETW</t>
  </si>
  <si>
    <t>P_NT_2026623132550</t>
  </si>
  <si>
    <t>P_NT_2026623132742</t>
  </si>
  <si>
    <t>34N1230005</t>
  </si>
  <si>
    <t>CDETW</t>
  </si>
  <si>
    <t>P_NT_2026623182146</t>
  </si>
  <si>
    <t>P_NT_2026623182252</t>
  </si>
  <si>
    <t>P_NT_202662321558</t>
  </si>
  <si>
    <t>P_NT_2026623212945</t>
  </si>
  <si>
    <t xml:space="preserve">                                          </t>
  </si>
  <si>
    <t>P_NT_202662442237</t>
  </si>
  <si>
    <t>PL14  (0:30)</t>
  </si>
  <si>
    <t>PL16 (1:15)</t>
  </si>
  <si>
    <t>P_NT_20266245657</t>
  </si>
  <si>
    <t>PL11(23:30.00:00)</t>
  </si>
  <si>
    <t>P_NT_202662452325</t>
  </si>
  <si>
    <t>PL02(4:30)</t>
  </si>
  <si>
    <t>P_NT_202662453449</t>
  </si>
  <si>
    <t>PL07( 23:30,0:30,1:30)</t>
  </si>
  <si>
    <t>PL18(1:00)</t>
  </si>
  <si>
    <t>P_NT_202662453910</t>
  </si>
  <si>
    <t>P_NT_202662454011</t>
  </si>
  <si>
    <t>PL09 (22:40 ,2:30 )</t>
  </si>
  <si>
    <t>34N1250214</t>
  </si>
  <si>
    <t>P_NT_202662454516</t>
  </si>
  <si>
    <t>P_NT_202662454635</t>
  </si>
  <si>
    <t>PL08 (00:50) (2:00)</t>
  </si>
  <si>
    <t>PL15 (1:15) (2:00)</t>
  </si>
  <si>
    <t>GAETX</t>
  </si>
  <si>
    <t>P_NT_2026624111213</t>
  </si>
  <si>
    <t>PL16 ( 6:40,7:00)</t>
  </si>
  <si>
    <t>34N1250137</t>
  </si>
  <si>
    <t>ADETX</t>
  </si>
  <si>
    <t>P_NT_2026624122148</t>
  </si>
  <si>
    <t>PL08 ( 8:00- 8:45)</t>
  </si>
  <si>
    <t>HDETX</t>
  </si>
  <si>
    <t>P_NT_2026624131211</t>
  </si>
  <si>
    <t>PL17 ( 10:00 )</t>
  </si>
  <si>
    <t>PL09 (7:55,8:25,10:25,12:25)</t>
  </si>
  <si>
    <t>P_NT_2026624132535</t>
  </si>
  <si>
    <t>P_NT_2026624132943</t>
  </si>
  <si>
    <t>P_NT_2026624173656</t>
  </si>
  <si>
    <t>TIUB01Y-1MZ2</t>
  </si>
  <si>
    <t>9DETX</t>
  </si>
  <si>
    <t>P_NT_202662420224</t>
  </si>
  <si>
    <t>P_NT_2026624202057</t>
  </si>
  <si>
    <t>AF21219W2</t>
  </si>
  <si>
    <t>P_NT_2026624203856</t>
  </si>
  <si>
    <t>P_NT_2026624211353</t>
  </si>
  <si>
    <t>CAETX</t>
  </si>
  <si>
    <t>P_NT_2026624212738</t>
  </si>
  <si>
    <t>BBETX</t>
  </si>
  <si>
    <t>PL10 ( ,4:22 ,4:55 )</t>
  </si>
  <si>
    <t>P_NT_202662545414</t>
  </si>
  <si>
    <t>PL09 (22:15, 00:45, 2:45)</t>
  </si>
  <si>
    <t>P_NT_202662553216</t>
  </si>
  <si>
    <t>P_NT_20266255360</t>
  </si>
  <si>
    <t>P_NT_202662554510</t>
  </si>
  <si>
    <t>PL03(22:30-23:30)(1:00-4:4:30)</t>
  </si>
  <si>
    <t>P_NT_20266255570</t>
  </si>
  <si>
    <t>AF21753W2</t>
  </si>
  <si>
    <t>P_NT_20266256012</t>
  </si>
  <si>
    <t>P_NT_202662561644</t>
  </si>
  <si>
    <t>PL22(23:30,1:50,2:50)</t>
  </si>
  <si>
    <t>FAETy</t>
  </si>
  <si>
    <t>P_NT_2026625125932</t>
  </si>
  <si>
    <t>HDETy</t>
  </si>
  <si>
    <t>P_NT_2026625134442</t>
  </si>
  <si>
    <t>P_NT_2026625134531</t>
  </si>
  <si>
    <t>P_NT_2026625134637</t>
  </si>
  <si>
    <t>PL10(7:40,8:10,9:20)</t>
  </si>
  <si>
    <t>P_NT_202662519101</t>
  </si>
  <si>
    <t>P_NT_2026625194941</t>
  </si>
  <si>
    <t>AF22030W2</t>
  </si>
  <si>
    <t>iAETy</t>
  </si>
  <si>
    <t>P_NT_2026625195138</t>
  </si>
  <si>
    <t>P_NT_2026625205737</t>
  </si>
  <si>
    <t>P_NT_2026625205835</t>
  </si>
  <si>
    <t>P_NT_2026625211544</t>
  </si>
  <si>
    <t>P_NT_2026625211644</t>
  </si>
  <si>
    <t>TU0425R1-1MZ2</t>
  </si>
  <si>
    <t>pl08</t>
  </si>
  <si>
    <t>tu0425r-1mz2</t>
  </si>
  <si>
    <t>P_NT_2026625212316</t>
  </si>
  <si>
    <t>CAETy</t>
  </si>
  <si>
    <t>BBETy</t>
  </si>
  <si>
    <t>34N1250099</t>
  </si>
  <si>
    <t>P_NT_2026625212840</t>
  </si>
  <si>
    <t>JDETy</t>
  </si>
  <si>
    <t>P_NT_2026625213442</t>
  </si>
  <si>
    <t>34N1250160</t>
  </si>
  <si>
    <t>9DETy</t>
  </si>
  <si>
    <t>P_NT_202662521361</t>
  </si>
  <si>
    <t>AF21763W2</t>
  </si>
  <si>
    <t>P_NT_2026625213823</t>
  </si>
  <si>
    <t>P_NT_2026625214021</t>
  </si>
  <si>
    <t>P_NT_2026625214240</t>
  </si>
  <si>
    <t>P_NT_2026625214521</t>
  </si>
  <si>
    <t>AF22046W2</t>
  </si>
  <si>
    <t>P_NT_2026625215142</t>
  </si>
  <si>
    <t>P_NT_202662641717</t>
  </si>
  <si>
    <t>PL17(22:45,23:30)</t>
  </si>
  <si>
    <t>34N1230027</t>
  </si>
  <si>
    <t>P_NT_202662644742</t>
  </si>
  <si>
    <t>AF22023W2</t>
  </si>
  <si>
    <t>P_NT_202662644855</t>
  </si>
  <si>
    <t>PL07(1:50)</t>
  </si>
  <si>
    <t>PL18(2:00,3:50)</t>
  </si>
  <si>
    <t>P_NT_202662653739</t>
  </si>
  <si>
    <t>P_NT_20266265414</t>
  </si>
  <si>
    <t>PL09 (5:00)</t>
  </si>
  <si>
    <t>P_NT_202662654443</t>
  </si>
  <si>
    <t>P_NT_20266265467</t>
  </si>
  <si>
    <t>P_NT_20266265474</t>
  </si>
  <si>
    <t>PL22 (01:00)</t>
  </si>
  <si>
    <t>PL02 (03:30,04:00)</t>
  </si>
  <si>
    <t>P_NT_202662655150</t>
  </si>
  <si>
    <t>PL15 (22:35)</t>
  </si>
  <si>
    <t>P_NT_202662692919</t>
  </si>
  <si>
    <t>P_NT_202662693020</t>
  </si>
  <si>
    <t>DAETZ</t>
  </si>
  <si>
    <t>P_NT_2026626121345</t>
  </si>
  <si>
    <t>BBETZ</t>
  </si>
  <si>
    <t>P_NT_2026626131626</t>
  </si>
  <si>
    <t>HDETZ</t>
  </si>
  <si>
    <t>P_NT_2026626131921</t>
  </si>
  <si>
    <t>P_NT_2026626132510</t>
  </si>
  <si>
    <t>TU0604BU--1MZ2</t>
  </si>
  <si>
    <t>P_NT_2026626133158</t>
  </si>
  <si>
    <t>TU805BU-1MZ2</t>
  </si>
  <si>
    <t>P_NT_2026626133353</t>
  </si>
  <si>
    <t>PL19 9:45 10:30) (12:00 12:30)</t>
  </si>
  <si>
    <t>PL03 (9:40 10:10)</t>
  </si>
  <si>
    <t>PL09 ( 8:15)</t>
  </si>
  <si>
    <t>PL17 ( 10:15 )</t>
  </si>
  <si>
    <t>P_NT_202662613449</t>
  </si>
  <si>
    <t>P_NT_2026626134526</t>
  </si>
  <si>
    <t>PL02 (11:10)</t>
  </si>
  <si>
    <t>AF22054W2</t>
  </si>
  <si>
    <t>9DETZ</t>
  </si>
  <si>
    <t>P_NT_2026626135839</t>
  </si>
  <si>
    <t>P_NT_2026626212555</t>
  </si>
  <si>
    <t>P_NT_2026626212714</t>
  </si>
  <si>
    <t>P_NT_202662702710</t>
  </si>
  <si>
    <t>Ca3 (Ghi chú 25/6)</t>
  </si>
  <si>
    <t>AF22044W2</t>
  </si>
  <si>
    <t>P_NT_202662744648</t>
  </si>
  <si>
    <t>PL18(1:40)</t>
  </si>
  <si>
    <t>P_NT_202662745511</t>
  </si>
  <si>
    <t>PL10(2:30)</t>
  </si>
  <si>
    <t>TTUMD-BU</t>
  </si>
  <si>
    <t>P_NT_2026627553</t>
  </si>
  <si>
    <t>PL09 (00:55:2:15)</t>
  </si>
  <si>
    <t>P_NT_202662753630</t>
  </si>
  <si>
    <t>PL19(23:30-2:00)</t>
  </si>
  <si>
    <t>P_NT_202662755515</t>
  </si>
  <si>
    <t>PL08 (2:45)</t>
  </si>
  <si>
    <t>iAETd</t>
  </si>
  <si>
    <t>P_NT_202662782459</t>
  </si>
  <si>
    <t>PL18(7:10,8:00)</t>
  </si>
  <si>
    <t>P_NT_2026627114437</t>
  </si>
  <si>
    <t>P_NT_2026627122415</t>
  </si>
  <si>
    <t>PL07(9:00,10:00)</t>
  </si>
  <si>
    <t>P_NT_2026627132510</t>
  </si>
  <si>
    <t>P_NT_2026627132554</t>
  </si>
  <si>
    <t>PL19 (10:30 11:00)</t>
  </si>
  <si>
    <t>PL03 (9:15 9:45)</t>
  </si>
  <si>
    <t>U1208BU-1MZ2</t>
  </si>
  <si>
    <t>P_NT_2026627132831</t>
  </si>
  <si>
    <t>PL22 (09:30,11:00 )</t>
  </si>
  <si>
    <t>HDETd</t>
  </si>
  <si>
    <t>P_NT_2026627134811</t>
  </si>
  <si>
    <t>PL02 (9:20,13:00)</t>
  </si>
  <si>
    <t>P_NT_202662713500</t>
  </si>
  <si>
    <t>PL17 (11:20,12:00,12:30)</t>
  </si>
  <si>
    <t>PL09 (6:25,12:15)</t>
  </si>
  <si>
    <t>P_NT_2026627201410</t>
  </si>
  <si>
    <t>PL10(16:00 16:30)</t>
  </si>
  <si>
    <t>PL10(18:00:18:30)</t>
  </si>
  <si>
    <t>PL10(19:00 19:30)</t>
  </si>
  <si>
    <t>TIUB07YR-1MZ2</t>
  </si>
  <si>
    <t>PL17(19:00 19:30)</t>
  </si>
  <si>
    <t>P_NT_202662721452</t>
  </si>
  <si>
    <t>PL22(17:00)</t>
  </si>
  <si>
    <t>P_NT_202662721948</t>
  </si>
  <si>
    <t>P_NT_2026627211429</t>
  </si>
  <si>
    <t>TIUB07-1MZ2</t>
  </si>
  <si>
    <t>P_NT_202662721240</t>
  </si>
  <si>
    <t>P_NT_202662824120</t>
  </si>
  <si>
    <t>PL09 (00:45)</t>
  </si>
  <si>
    <t>P_NT_202662841522</t>
  </si>
  <si>
    <t>PL07 (22:50 ,2:05)</t>
  </si>
  <si>
    <t>PL11 (4:35)</t>
  </si>
  <si>
    <t>PL17 (4:00)</t>
  </si>
  <si>
    <t>KAETf</t>
  </si>
  <si>
    <t>P_NT_202662995222</t>
  </si>
  <si>
    <t>PL20 (8:40 , 13:50)</t>
  </si>
  <si>
    <t>P_NT_202662920042</t>
  </si>
  <si>
    <t>PL07(15:30)</t>
  </si>
  <si>
    <t>P_NT_2026629203143</t>
  </si>
  <si>
    <t>PL14(17:50)</t>
  </si>
  <si>
    <t>P_NT_2026629212743</t>
  </si>
  <si>
    <t>P_NT_2026629214713</t>
  </si>
  <si>
    <t>P_NT_2026629215322</t>
  </si>
  <si>
    <t>P_NT_2026629215425</t>
  </si>
  <si>
    <t xml:space="preserve">TU0805S1-1MZ2 </t>
  </si>
  <si>
    <t>P_NT_202662921558</t>
  </si>
  <si>
    <t>PL08 (14:00) - (17:00)</t>
  </si>
  <si>
    <t xml:space="preserve">PL15 (18:30) (16:45) </t>
  </si>
  <si>
    <t>PL15 (21:00)</t>
  </si>
  <si>
    <t>DAETf</t>
  </si>
  <si>
    <t>P_NT_202663025052</t>
  </si>
  <si>
    <t>PL11 (0:45)</t>
  </si>
  <si>
    <t>CAETf</t>
  </si>
  <si>
    <t>P_NT_202663045618</t>
  </si>
  <si>
    <t>PL10(22:30)</t>
  </si>
  <si>
    <t>EAETf</t>
  </si>
  <si>
    <t>P_NT_20266305927</t>
  </si>
  <si>
    <t>TU160C-1MZ2</t>
  </si>
  <si>
    <t>P_NT_20266305167</t>
  </si>
  <si>
    <t>PL20 (0:00)</t>
  </si>
  <si>
    <t>pl14 ( 2:45)</t>
  </si>
  <si>
    <t>TU1208G1-1MZ2</t>
  </si>
  <si>
    <t>P_NT_2026630123314</t>
  </si>
  <si>
    <t>P_NT_2026630123441</t>
  </si>
  <si>
    <t>PL22(10:30)</t>
  </si>
  <si>
    <t>PL02(10:30,12:00)</t>
  </si>
  <si>
    <t>PL20 (8:40)</t>
  </si>
  <si>
    <t>KAETg</t>
  </si>
  <si>
    <t>PL20 (9:40)</t>
  </si>
  <si>
    <t>CAETg</t>
  </si>
  <si>
    <t>PL20 (6:45)</t>
  </si>
  <si>
    <t>9DETg</t>
  </si>
  <si>
    <t>iAETg</t>
  </si>
  <si>
    <t>P_NT_2026630131611</t>
  </si>
  <si>
    <t>P_NT_2026630132833</t>
  </si>
  <si>
    <t>P_NT_2026630203617</t>
  </si>
  <si>
    <t>PL18(16:30,17:00)</t>
  </si>
  <si>
    <t>PL18(18:30,19:30)</t>
  </si>
  <si>
    <t>P_NT_2026630204521</t>
  </si>
  <si>
    <t>PL22(19:00)</t>
  </si>
  <si>
    <t>TIUB01R-1MZ2</t>
  </si>
  <si>
    <t>P_NT_2026630205838</t>
  </si>
  <si>
    <t>AF21726W2</t>
  </si>
  <si>
    <t>P_NT_202663021244</t>
  </si>
  <si>
    <t>PL07 (15:45,18:30)</t>
  </si>
  <si>
    <t>PL10 (18:30)</t>
  </si>
  <si>
    <t>P_NT_2026630211315</t>
  </si>
  <si>
    <t>AF22200W2</t>
  </si>
  <si>
    <t>P_NT_2026712523</t>
  </si>
  <si>
    <t>TU1610G-1MZ2</t>
  </si>
  <si>
    <t>P_NT_20267125426</t>
  </si>
  <si>
    <t>TU1610R1-1MZ2</t>
  </si>
  <si>
    <t>PL20 (22:45)</t>
  </si>
  <si>
    <t>PL20 (01:40)</t>
  </si>
  <si>
    <t>PL20 (23:40)</t>
  </si>
  <si>
    <t>PL22(02:30)</t>
  </si>
  <si>
    <t>PL07 (3:20,4:30)</t>
  </si>
  <si>
    <t>34N1250138</t>
  </si>
  <si>
    <t>HDETg</t>
  </si>
  <si>
    <t>P_NT_2026715513</t>
  </si>
  <si>
    <t>P_NT_202671124122</t>
  </si>
  <si>
    <t>P_NT_20267113181</t>
  </si>
  <si>
    <t>P_NT_20267113327</t>
  </si>
  <si>
    <t>P_NT_202671133331</t>
  </si>
  <si>
    <t>AF21994W2</t>
  </si>
  <si>
    <t>P_NT_202671211220</t>
  </si>
  <si>
    <t>P_NT_202671211323</t>
  </si>
  <si>
    <t>P_NT_202671211423</t>
  </si>
  <si>
    <t>PL22(20:15)</t>
  </si>
  <si>
    <t>PL20(,18:00,19:00,21:02)</t>
  </si>
  <si>
    <t>PL19(17:30)</t>
  </si>
  <si>
    <t>P_NT_202671214057</t>
  </si>
  <si>
    <t>P_NT_202671214247</t>
  </si>
  <si>
    <t>P_NT_202671215736</t>
  </si>
  <si>
    <t>PL10 (21:55)</t>
  </si>
  <si>
    <t>PL10 (22:45)</t>
  </si>
  <si>
    <t>P_NT_2026725255</t>
  </si>
  <si>
    <t>PL14 (23:20, 00:10, 00:35)</t>
  </si>
  <si>
    <t>P_NT_20267252756</t>
  </si>
  <si>
    <t>PL22(22:20)</t>
  </si>
  <si>
    <t>PL17(7:00:7:30)</t>
  </si>
  <si>
    <t>34N1250070</t>
  </si>
  <si>
    <t>JDEUB</t>
  </si>
  <si>
    <t>P_NT_20267213516</t>
  </si>
  <si>
    <t>P_NT_202672135234</t>
  </si>
  <si>
    <t>Tu0604BU-1MZ2</t>
  </si>
  <si>
    <t>PL19(7:40:6:50)</t>
  </si>
  <si>
    <t xml:space="preserve">TU0425YR-1MZ2 </t>
  </si>
  <si>
    <t>P_NT_202672194446</t>
  </si>
  <si>
    <t xml:space="preserve">TU0425W-1MZ2 </t>
  </si>
  <si>
    <t>P_NT_202672194557</t>
  </si>
  <si>
    <t>P_NT_202672194716</t>
  </si>
  <si>
    <t>CA 2</t>
  </si>
  <si>
    <t>PL08 (15:50)</t>
  </si>
  <si>
    <t>PL08 (21:30)</t>
  </si>
  <si>
    <t>PL08 (15:15</t>
  </si>
  <si>
    <t>P_NT_202672195334</t>
  </si>
  <si>
    <t>34N1250066</t>
  </si>
  <si>
    <t>P_NT_2026722115</t>
  </si>
  <si>
    <t>AF22094W2</t>
  </si>
  <si>
    <t>P_NT_202672211342</t>
  </si>
  <si>
    <t>PL18 (16:50)</t>
  </si>
  <si>
    <t>P_NT_202672212846</t>
  </si>
  <si>
    <t>PL07 (20:00,21:20)</t>
  </si>
  <si>
    <t>PL16 (18:10.20:15)</t>
  </si>
  <si>
    <t>PL16 (22:00)</t>
  </si>
  <si>
    <t>PL20(18:00)</t>
  </si>
  <si>
    <t>PL19(16:00,16:15,16:30,17:00)</t>
  </si>
  <si>
    <t>AF22047W2</t>
  </si>
  <si>
    <t>GAEUB</t>
  </si>
  <si>
    <t>P_NT_20267343923</t>
  </si>
  <si>
    <t>PL16 (3:40 )</t>
  </si>
  <si>
    <t>34N1250158</t>
  </si>
  <si>
    <t>HDEUB</t>
  </si>
  <si>
    <t>P_NT_20267344046</t>
  </si>
  <si>
    <t>AF22081W2</t>
  </si>
  <si>
    <t>iAEUC</t>
  </si>
  <si>
    <t>P_NT_202673102514</t>
  </si>
  <si>
    <t>TU1610W-1MZ2</t>
  </si>
  <si>
    <t>KAEUB</t>
  </si>
  <si>
    <t>P_NT_202673104059</t>
  </si>
  <si>
    <t>P_NT_20267312396</t>
  </si>
  <si>
    <t>P_NT_2026731394</t>
  </si>
  <si>
    <t>PL20 ( 10:20 13:20)</t>
  </si>
  <si>
    <t>P_NT_20267313213</t>
  </si>
  <si>
    <t>PL07(9:00-10:00)</t>
  </si>
  <si>
    <t>9DEUC</t>
  </si>
  <si>
    <t>P_NT_202673185354</t>
  </si>
  <si>
    <t>PL16(16:30.17:20)</t>
  </si>
  <si>
    <t>34N215068</t>
  </si>
  <si>
    <t>P_NT_202673201732</t>
  </si>
  <si>
    <t>PL17(16,17)</t>
  </si>
  <si>
    <t>P_NT_20267321730</t>
  </si>
  <si>
    <t>PL18 (16:20, 19:00)</t>
  </si>
  <si>
    <t>P_NT_202673214727</t>
  </si>
  <si>
    <t>PL08 (15:45)</t>
  </si>
  <si>
    <t>TU1065R-11MZ2</t>
  </si>
  <si>
    <t>GAEUC</t>
  </si>
  <si>
    <t>P_NT_20267431714</t>
  </si>
  <si>
    <t>34N1250126</t>
  </si>
  <si>
    <t>HDEUC</t>
  </si>
  <si>
    <t>P_NT_20267431854</t>
  </si>
  <si>
    <t>PL16 ( 23:10 )</t>
  </si>
  <si>
    <t xml:space="preserve"> PL17 ( 2:30 )</t>
  </si>
  <si>
    <t xml:space="preserve">TU0425BU2-1MZ2 </t>
  </si>
  <si>
    <t>P_NT_202676132439</t>
  </si>
  <si>
    <t>PL08 (9H,10H15,11H15)</t>
  </si>
  <si>
    <t>P_NT_202676134749</t>
  </si>
  <si>
    <t>AFF22030W2</t>
  </si>
  <si>
    <t>P_NT_202676135451</t>
  </si>
  <si>
    <t>PL07(14:50,16:05)</t>
  </si>
  <si>
    <t>9DEUF</t>
  </si>
  <si>
    <t>PL10 (16:30)</t>
  </si>
  <si>
    <t>HDEUF</t>
  </si>
  <si>
    <t>P_NT_202676185123</t>
  </si>
  <si>
    <t>KAEUF</t>
  </si>
  <si>
    <t>AF21700W2</t>
  </si>
  <si>
    <t>P_NT_202676205715</t>
  </si>
  <si>
    <t>PL20 ( 2:40)</t>
  </si>
  <si>
    <t>P_NT_20267751311</t>
  </si>
  <si>
    <t>PL18 (23:00)</t>
  </si>
  <si>
    <t>P_NT_20267752413</t>
  </si>
  <si>
    <t>PL09 (4:40)</t>
  </si>
  <si>
    <t>BAEUF</t>
  </si>
  <si>
    <t>PL07(3:45)</t>
  </si>
  <si>
    <t>PL16(3:45)</t>
  </si>
  <si>
    <t>P_NT_202677125538</t>
  </si>
  <si>
    <t>P_NT_20267713742</t>
  </si>
  <si>
    <t>P_NT_20267713814</t>
  </si>
  <si>
    <t>TUMD-B</t>
  </si>
  <si>
    <t>P_NT_20267713120</t>
  </si>
  <si>
    <t>PL10 (13:00)</t>
  </si>
  <si>
    <t>AF21751W2</t>
  </si>
  <si>
    <t>P_NT_202677131810</t>
  </si>
  <si>
    <t>PL09 (6:10, 10:10)</t>
  </si>
  <si>
    <t>P_NT_202677132132</t>
  </si>
  <si>
    <t>P_NT_202677132240</t>
  </si>
  <si>
    <t>PL15 (6:30,7:30)</t>
  </si>
  <si>
    <t>PL08 (7:00,7:45)</t>
  </si>
  <si>
    <t>PL18(11:00,14:00)</t>
  </si>
  <si>
    <t>P_NT_202677134736</t>
  </si>
  <si>
    <t>PL22 (13:00)</t>
  </si>
  <si>
    <t>PL20(6:25,7:10,7:30)</t>
  </si>
  <si>
    <t>PL20(12:00,13:50)</t>
  </si>
  <si>
    <t>PL07(18:30)</t>
  </si>
  <si>
    <t>AF22079W2</t>
  </si>
  <si>
    <t>BAEUG</t>
  </si>
  <si>
    <t>P_NT_20267718582</t>
  </si>
  <si>
    <t>PL09 ( 14:10 )</t>
  </si>
  <si>
    <t>FAEUG</t>
  </si>
  <si>
    <t>P_NT_20267721151</t>
  </si>
  <si>
    <t>PL15 (15:20)</t>
  </si>
  <si>
    <t>P_NT_20267721621</t>
  </si>
  <si>
    <t>PL09(18:00)</t>
  </si>
  <si>
    <t>P_NT_202677211139</t>
  </si>
  <si>
    <t>PL18 (17:50)</t>
  </si>
  <si>
    <t>PL20 (17:30)</t>
  </si>
  <si>
    <t>PL20 (20:30)</t>
  </si>
  <si>
    <t>P_NT_202677212145</t>
  </si>
  <si>
    <t>PL19 (15:25)</t>
  </si>
  <si>
    <t>5AEUG</t>
  </si>
  <si>
    <t>P_NT_20267813110</t>
  </si>
  <si>
    <t>PL03 (22:30 23:00)</t>
  </si>
  <si>
    <t>TU1610S1-1MZ2</t>
  </si>
  <si>
    <t>PL20 (1:20)</t>
  </si>
  <si>
    <t>PL03 (4:00)</t>
  </si>
  <si>
    <t>P_NT_20267844926</t>
  </si>
  <si>
    <t>PL07(1:00)</t>
  </si>
  <si>
    <t>TU1208G-1MZ2</t>
  </si>
  <si>
    <t>P_NT_2026785208</t>
  </si>
  <si>
    <t>PL22(2:00)</t>
  </si>
  <si>
    <t>PL08(22:45)</t>
  </si>
  <si>
    <t>PL08(5:45)</t>
  </si>
  <si>
    <t>P_NT_20267883622</t>
  </si>
  <si>
    <t>P_NT_20267812572</t>
  </si>
  <si>
    <t>PL15 (6:30,8:15)</t>
  </si>
  <si>
    <t>P_NT_202678131010</t>
  </si>
  <si>
    <t>PL14(7:50)</t>
  </si>
  <si>
    <t>P_NT_202678133632</t>
  </si>
  <si>
    <t>PL18(12:00)</t>
  </si>
  <si>
    <t>PL07(11:00,12:00)</t>
  </si>
  <si>
    <t>P_NT_20267813429</t>
  </si>
  <si>
    <t>PL10 (6:30, 7:00 , 7:30)</t>
  </si>
  <si>
    <t xml:space="preserve">TU0425Y-1MZ2 </t>
  </si>
  <si>
    <t>34N1250142</t>
  </si>
  <si>
    <t>P_NT_202678135629</t>
  </si>
  <si>
    <t>PL08 (13:30)</t>
  </si>
  <si>
    <t>PL10 (16:05)</t>
  </si>
  <si>
    <t>BAEUH</t>
  </si>
  <si>
    <t>P_NT_202678205647</t>
  </si>
  <si>
    <t>PL09 ( 14:50, 16:25 )</t>
  </si>
  <si>
    <t>PL02 (15:05)</t>
  </si>
  <si>
    <t>PL15 (18:20   19:00)</t>
  </si>
  <si>
    <t>FAEUH</t>
  </si>
  <si>
    <t>PL20 (18:00)</t>
  </si>
  <si>
    <t>PL20 (19:35)</t>
  </si>
  <si>
    <t>P_NT_20267821235</t>
  </si>
  <si>
    <t>P_NT_202678212751</t>
  </si>
  <si>
    <t>PL11 (18:30)</t>
  </si>
  <si>
    <t>PL11 (20:00)</t>
  </si>
  <si>
    <t>PL11 (20:45)</t>
  </si>
  <si>
    <t>HDEUH</t>
  </si>
  <si>
    <t>P_NT_202678213645</t>
  </si>
  <si>
    <t>PL20 (23:10 0:32 2:40)</t>
  </si>
  <si>
    <t>P_NT_2026794913</t>
  </si>
  <si>
    <t>PL22(4:00)</t>
  </si>
  <si>
    <t>PL10(1:00 2:00)</t>
  </si>
  <si>
    <t>PL09(2:30 3:30)</t>
  </si>
  <si>
    <t>PL03 (22:42 4:40)</t>
  </si>
  <si>
    <t>PL11(2;00)</t>
  </si>
  <si>
    <t>Hang BU</t>
  </si>
  <si>
    <t>P_NT_20267955813</t>
  </si>
  <si>
    <t>P_NT_202679113855</t>
  </si>
  <si>
    <t>PL07(6:30)</t>
  </si>
  <si>
    <t>PL18(10:00)</t>
  </si>
  <si>
    <t>P_NT_202679125424</t>
  </si>
  <si>
    <t>AF21728W2</t>
  </si>
  <si>
    <t>P_NT_202679125536</t>
  </si>
  <si>
    <t>pl10 (8:30)</t>
  </si>
  <si>
    <t>PL09(14:00)</t>
  </si>
  <si>
    <t>P_NT_20267912598</t>
  </si>
  <si>
    <t>P_NT_20267913021</t>
  </si>
  <si>
    <t>P_NT_2026791314</t>
  </si>
  <si>
    <t>PL03(6:30,7:40)</t>
  </si>
  <si>
    <t>PL19(6:15,8:30,9:00)</t>
  </si>
  <si>
    <t>PL20(8:10)</t>
  </si>
  <si>
    <t>TU1065YR-1MZ2</t>
  </si>
  <si>
    <t>P_NT_202679133321</t>
  </si>
  <si>
    <t>PL16(7,30;9:15)</t>
  </si>
  <si>
    <t>P_NT_2026791427</t>
  </si>
  <si>
    <t>PL15 (11:50,13:10)</t>
  </si>
  <si>
    <t>PL15 (14h20  16h20  19h00)</t>
  </si>
  <si>
    <t>ADEUi</t>
  </si>
  <si>
    <t>34N1250146</t>
  </si>
  <si>
    <t>HDEUi</t>
  </si>
  <si>
    <t>P_NT_202679204611</t>
  </si>
  <si>
    <t>PL17 ( 20:05 )</t>
  </si>
  <si>
    <t>P_NT_202679211858</t>
  </si>
  <si>
    <t>34DC01</t>
  </si>
  <si>
    <t>P_NT_202679212046</t>
  </si>
  <si>
    <t>PL09 ( 19:30, 20:00, 20:30 )</t>
  </si>
  <si>
    <t>PL10 ( 14:00, 14:30, 15:00 )</t>
  </si>
  <si>
    <t>P_NT_202679213847</t>
  </si>
  <si>
    <t>P_NT_202679213951</t>
  </si>
  <si>
    <t>TU0425YR-1MZ2</t>
  </si>
  <si>
    <t>34N1250144</t>
  </si>
  <si>
    <t>P_NT_202679214241</t>
  </si>
  <si>
    <t>P_NT_202679214544</t>
  </si>
  <si>
    <t>P_NT_20267921475</t>
  </si>
  <si>
    <t>P_NT_202679214759</t>
  </si>
  <si>
    <t>P_NT_202679214923</t>
  </si>
  <si>
    <t>1-TU0425BU-1MZ2</t>
  </si>
  <si>
    <t>P_NT_20267104032</t>
  </si>
  <si>
    <t>AF22095W2</t>
  </si>
  <si>
    <t>iAEUi</t>
  </si>
  <si>
    <t>P_NT_202671043641</t>
  </si>
  <si>
    <t>P_NT_20267105347</t>
  </si>
  <si>
    <t>P_NT_202671051111</t>
  </si>
  <si>
    <t>ĐOÀN Văn Dương</t>
  </si>
  <si>
    <t>PL09(0:30 1:30)</t>
  </si>
  <si>
    <t>đen</t>
  </si>
  <si>
    <t>P_NT_202671012448</t>
  </si>
  <si>
    <t>PL07(11:00)</t>
  </si>
  <si>
    <t>P_NT_2026710131116</t>
  </si>
  <si>
    <t>P_NT_2026710131618</t>
  </si>
  <si>
    <t>6:30.7:00.13:00)</t>
  </si>
  <si>
    <t>34N1250153</t>
  </si>
  <si>
    <t>P_NT_2026710132538</t>
  </si>
  <si>
    <t>P_NT_2026710132713</t>
  </si>
  <si>
    <t>P_NT_202671013439</t>
  </si>
  <si>
    <t>P_NT_2026710134520</t>
  </si>
  <si>
    <t>PL22(7:00.9:00)</t>
  </si>
  <si>
    <t>PL10(11:00,11:30,13:30)</t>
  </si>
  <si>
    <t>P_NT_2026710135433</t>
  </si>
  <si>
    <t>PL08 (12:00)</t>
  </si>
  <si>
    <t>HDEUJ</t>
  </si>
  <si>
    <t>P_NT_2026710164743</t>
  </si>
  <si>
    <t>PL17 ( 15:00,15:30 )</t>
  </si>
  <si>
    <t>BAEUJ</t>
  </si>
  <si>
    <t>PL09(16:30)</t>
  </si>
  <si>
    <t>PL10(19:10)</t>
  </si>
  <si>
    <t>CCEUJ</t>
  </si>
  <si>
    <t>TU0604YR-1MZ2</t>
  </si>
  <si>
    <t>P_NT_202671020116</t>
  </si>
  <si>
    <t>PL17 ( 17:50 )</t>
  </si>
  <si>
    <t>PL08 (17:35)</t>
  </si>
  <si>
    <t>ADEUJ</t>
  </si>
  <si>
    <t>P_NT_2026710213314</t>
  </si>
  <si>
    <t>P_NT_2026710213421</t>
  </si>
  <si>
    <t>PL03 ( 17:30)</t>
  </si>
  <si>
    <t>P_NT_2026710214153</t>
  </si>
  <si>
    <t>P_NT_2026710214238</t>
  </si>
  <si>
    <t>P_NT_2026710214311</t>
  </si>
  <si>
    <t>PL18 15:10</t>
  </si>
  <si>
    <t>PL18 16:00</t>
  </si>
  <si>
    <t>PL18 19:00</t>
  </si>
  <si>
    <t>PL19 (16:25.20:10)</t>
  </si>
  <si>
    <t>PL02 (19:30+21H20)</t>
  </si>
  <si>
    <t>TIB13BU-1MZ2</t>
  </si>
  <si>
    <t>PL22 (20H)</t>
  </si>
  <si>
    <t>P_NT_202671144833</t>
  </si>
  <si>
    <t>P_NT_202671145027</t>
  </si>
  <si>
    <t>P_NT_202671145851</t>
  </si>
  <si>
    <t>P_NT_202671151944</t>
  </si>
  <si>
    <t>P_NT_2026711131444</t>
  </si>
  <si>
    <t>PL19 (10:30,11:15)</t>
  </si>
  <si>
    <t>AF21746W2</t>
  </si>
  <si>
    <t>P_NT_2026711132428</t>
  </si>
  <si>
    <t>PL09 (6:30)</t>
  </si>
  <si>
    <t>PL09 (8:00)</t>
  </si>
  <si>
    <t>P_NT_2026711132647</t>
  </si>
  <si>
    <t>PL10 (8:00, 8:20)</t>
  </si>
  <si>
    <t>AF22109W2</t>
  </si>
  <si>
    <t>P_NT_2026711133221</t>
  </si>
  <si>
    <t>P_NT_2026711133337</t>
  </si>
  <si>
    <t>P_NT_202671113464</t>
  </si>
  <si>
    <t>CA 1</t>
  </si>
  <si>
    <t>PL03(13:00)</t>
  </si>
  <si>
    <t>P_NT_202671113483</t>
  </si>
  <si>
    <t>PL15 (10:20)</t>
  </si>
  <si>
    <t>P_NT_2026711135236</t>
  </si>
  <si>
    <t>PL11(11:00)</t>
  </si>
  <si>
    <t>P_NT_2026711135416</t>
  </si>
  <si>
    <t>PL14(9:20.8:40.7:50.6:40)</t>
  </si>
  <si>
    <t>PL17 (6:25, 7:00, 7:25)</t>
  </si>
  <si>
    <t>PL16 (12:35)</t>
  </si>
  <si>
    <t>GAEUK</t>
  </si>
  <si>
    <t>P_NT_2026711175730</t>
  </si>
  <si>
    <t>PL16 ( 15:50, 16:30 )</t>
  </si>
  <si>
    <t>P_NT_202671117594</t>
  </si>
  <si>
    <t>PL16 ( 17:15 )</t>
  </si>
  <si>
    <t>TU0805BU31MZ2</t>
  </si>
  <si>
    <t>PL03(15:30.18:30.20:30)</t>
  </si>
  <si>
    <t>TU0425BU3-1MZ2</t>
  </si>
  <si>
    <t>P_NT_2026711212817</t>
  </si>
  <si>
    <t>PL07 (21:00)</t>
  </si>
  <si>
    <t>HDEUK</t>
  </si>
  <si>
    <t>P_NT_2026711214346</t>
  </si>
  <si>
    <t>PL17 ( 21:20 )</t>
  </si>
  <si>
    <t>P_NT_202671241946</t>
  </si>
  <si>
    <t>PL09(1:00-1:25)</t>
  </si>
  <si>
    <t>BAEUK</t>
  </si>
  <si>
    <t>PL10 (10:00,10:30)</t>
  </si>
  <si>
    <t>CCEUM</t>
  </si>
  <si>
    <t>AF22055W2</t>
  </si>
  <si>
    <t>GAEUM</t>
  </si>
  <si>
    <t>P_NT_2026713132911</t>
  </si>
  <si>
    <t>PL16 ( 10:30 )</t>
  </si>
  <si>
    <t>P_NT_2026713134452</t>
  </si>
  <si>
    <t>PL18 (12:30)</t>
  </si>
  <si>
    <t>P_NT_2026713211153</t>
  </si>
  <si>
    <t>P_NT_2026713211345</t>
  </si>
  <si>
    <t>P_NT_2026713211956</t>
  </si>
  <si>
    <t>P_NT_2026713212516</t>
  </si>
  <si>
    <t>P_NT_2026713213346</t>
  </si>
  <si>
    <t>PL18(14:45,17:45)</t>
  </si>
  <si>
    <t>P_NT_2026713213718</t>
  </si>
  <si>
    <t>P_NT_2026713213948</t>
  </si>
  <si>
    <t>P_NT_20267144467</t>
  </si>
  <si>
    <t>PL11 (22:55, 23:35, 0:30)</t>
  </si>
  <si>
    <t>PL16 (2:00)</t>
  </si>
  <si>
    <t>P_NT_20267145316</t>
  </si>
  <si>
    <t>PL20 (00:15;01:00)</t>
  </si>
  <si>
    <t>P_NT_202671452226</t>
  </si>
  <si>
    <t>P_NT_20267145234</t>
  </si>
  <si>
    <t>P_NT_202671452431</t>
  </si>
  <si>
    <t>PL03(0:10)</t>
  </si>
  <si>
    <t>PL19(0:00,1:30,3:00)</t>
  </si>
  <si>
    <t>P_NT_202671452642</t>
  </si>
  <si>
    <t>PL09(3:30 ,3:20)</t>
  </si>
  <si>
    <t>TU0425GG-1MZ2</t>
  </si>
  <si>
    <t>34N120066</t>
  </si>
  <si>
    <t>P_NT_202671455048</t>
  </si>
  <si>
    <t>P_NT_202671455953</t>
  </si>
  <si>
    <t>PL15 (1:40,0:00,23:30,1:00)</t>
  </si>
  <si>
    <t>BBEUN</t>
  </si>
  <si>
    <t>P_NT_202671495721</t>
  </si>
  <si>
    <t>PL20(08:40)</t>
  </si>
  <si>
    <t>P_NT_2026714132153</t>
  </si>
  <si>
    <t>34N123065</t>
  </si>
  <si>
    <t>P_NT_2026714132253</t>
  </si>
  <si>
    <t>PL16 ( 10:30, 11:30 )</t>
  </si>
  <si>
    <t>PL17 ( 9:00, 10:30 )</t>
  </si>
  <si>
    <t>PL09(6:30,6:45,13:25)</t>
  </si>
  <si>
    <t>À21754</t>
  </si>
  <si>
    <t>P_NT_2026714135011</t>
  </si>
  <si>
    <t>P_NT_2026714135118</t>
  </si>
  <si>
    <t>P_NT_2026714135233</t>
  </si>
  <si>
    <t>PL03( 1:20 ,10:15)</t>
  </si>
  <si>
    <t>PL19(8:55 ,10:10)</t>
  </si>
  <si>
    <t>AF22052W2</t>
  </si>
  <si>
    <t>Iaeun</t>
  </si>
  <si>
    <t>P_NT_2026714201728</t>
  </si>
  <si>
    <t>P_NT_2026714204611</t>
  </si>
  <si>
    <t>TU1610B-MZ2</t>
  </si>
  <si>
    <t>P_NT_2026714211154</t>
  </si>
  <si>
    <t>PL20 (14:15,15:40)</t>
  </si>
  <si>
    <t>P_NT_2026714213358</t>
  </si>
  <si>
    <t>P_NT_2026714213515</t>
  </si>
  <si>
    <t>P_NT_202671421416</t>
  </si>
  <si>
    <t>tu0805c-1mz2</t>
  </si>
  <si>
    <t>P_NT_202671502818</t>
  </si>
  <si>
    <t>pl03(0:00,0:30)</t>
  </si>
  <si>
    <t>P_NT_202671543838</t>
  </si>
  <si>
    <t>PL22 (00:00;00:30)</t>
  </si>
  <si>
    <t>P_NT_20267154463</t>
  </si>
  <si>
    <t>P_NT_202671544745</t>
  </si>
  <si>
    <t>PL10 (00:00 ,00:30)</t>
  </si>
  <si>
    <t>PL09 (4:25)</t>
  </si>
  <si>
    <t>34N1250110</t>
  </si>
  <si>
    <t>P_NT_202671551618</t>
  </si>
  <si>
    <t>PL17 (3:00)</t>
  </si>
  <si>
    <t>P_NT_202671554011</t>
  </si>
  <si>
    <t>PL14(2:30.5:50)</t>
  </si>
  <si>
    <t xml:space="preserve">TU0425R-1MZ2 </t>
  </si>
  <si>
    <t>P_NT_202671555559</t>
  </si>
  <si>
    <t>PL08 (4:20,5:00)</t>
  </si>
  <si>
    <t>PL09 (8:20,11:50)</t>
  </si>
  <si>
    <t>TU1610C-MZ2</t>
  </si>
  <si>
    <t>PL20 (07:30)</t>
  </si>
  <si>
    <t>PL22 (06:30)</t>
  </si>
  <si>
    <t>P_NT_2026715123724</t>
  </si>
  <si>
    <t>P_NT_2026715123814</t>
  </si>
  <si>
    <t>ADEUo</t>
  </si>
  <si>
    <t>tu0425yr-1mz2</t>
  </si>
  <si>
    <t>P_NT_2026715124334</t>
  </si>
  <si>
    <t>TU0425R-1mz2</t>
  </si>
  <si>
    <t>TU0425YR-1mz2</t>
  </si>
  <si>
    <t>P_NT_2026715125622</t>
  </si>
  <si>
    <t>P_NT_202671512579</t>
  </si>
  <si>
    <t>P_NT_2026715125825</t>
  </si>
  <si>
    <t>P_NT_2026715125927</t>
  </si>
  <si>
    <t>PL07 (06:00, 08:00)</t>
  </si>
  <si>
    <t>PL07 (09:00)</t>
  </si>
  <si>
    <t>PL18 (06:00)</t>
  </si>
  <si>
    <t>PL18 (11:30)</t>
  </si>
  <si>
    <t>P_NT_2026715134138</t>
  </si>
  <si>
    <t>GAEUo</t>
  </si>
  <si>
    <t>P_NT_2026715135622</t>
  </si>
  <si>
    <t>PL16 ( 11:45 )</t>
  </si>
  <si>
    <t>P_NT_2026715194213</t>
  </si>
  <si>
    <t>PL03 (19:35)</t>
  </si>
  <si>
    <t>P_NT_2026715203242</t>
  </si>
  <si>
    <t>AF21553W2</t>
  </si>
  <si>
    <t>P_NT_2026715205758</t>
  </si>
  <si>
    <t>34N1250133</t>
  </si>
  <si>
    <t>9DEUo</t>
  </si>
  <si>
    <t>P_NT_2026715213143</t>
  </si>
  <si>
    <t>P_NT_202671604323</t>
  </si>
  <si>
    <t>P_NT_202671643647</t>
  </si>
  <si>
    <t>TU0425BU1-1MZ2</t>
  </si>
  <si>
    <t>12BU</t>
  </si>
  <si>
    <t>4B</t>
  </si>
  <si>
    <t>1B</t>
  </si>
  <si>
    <t>P_NT_202671645623</t>
  </si>
  <si>
    <t>P_NT_20267164581</t>
  </si>
  <si>
    <t>AF217426W2</t>
  </si>
  <si>
    <t>P_NT_20267165137</t>
  </si>
  <si>
    <t>PL09 (23:00,2:30)</t>
  </si>
  <si>
    <t>PL10 (23:00,23:30)</t>
  </si>
  <si>
    <t>P_NT_202671651541</t>
  </si>
  <si>
    <t>P_NT_202671651640</t>
  </si>
  <si>
    <t>P_NT_202671653143</t>
  </si>
  <si>
    <t>P_NT_20267165338</t>
  </si>
  <si>
    <t>P_NT_202671653632</t>
  </si>
  <si>
    <t>P_NT_202671653735</t>
  </si>
  <si>
    <t>PL22(0:30)</t>
  </si>
  <si>
    <t>34N1260026</t>
  </si>
  <si>
    <t>P_NT_202671654111</t>
  </si>
  <si>
    <t>AF22110W2</t>
  </si>
  <si>
    <t>P_NT_202671654355</t>
  </si>
  <si>
    <t>PL17 (0:10, 2:10)</t>
  </si>
  <si>
    <t>PL16 (23:15)</t>
  </si>
  <si>
    <t>TU060BU-1MZ2</t>
  </si>
  <si>
    <t>P_NT_202671671845</t>
  </si>
  <si>
    <t>GAEUP</t>
  </si>
  <si>
    <t>P_NT_2026716111337</t>
  </si>
  <si>
    <t>PL16 ( 9:50 )</t>
  </si>
  <si>
    <t>P_NT_2026716114642</t>
  </si>
  <si>
    <t>BBEUP</t>
  </si>
  <si>
    <t>FAEUP</t>
  </si>
  <si>
    <t>P_NT_2026716115045</t>
  </si>
  <si>
    <t>TU0604GR2-1MZ2</t>
  </si>
  <si>
    <t>HDEUP</t>
  </si>
  <si>
    <t>P_NT_202671612037</t>
  </si>
  <si>
    <t>TU0604GS1-1MZ2</t>
  </si>
  <si>
    <t>PL17 ( 6:35 )</t>
  </si>
  <si>
    <t>P_NT_202671612153</t>
  </si>
  <si>
    <t>PL09 (6:10,9:00,12:00)</t>
  </si>
  <si>
    <t>P_NT_2026716125535</t>
  </si>
  <si>
    <t>P_NT_2026716125720</t>
  </si>
  <si>
    <t>P_NT_202671613272</t>
  </si>
  <si>
    <t>PL14(9:40)</t>
  </si>
  <si>
    <t>PL07 ( 09:30 )</t>
  </si>
  <si>
    <t>PL18 (10:00,11:00)</t>
  </si>
  <si>
    <t>P_NT_2026716201754</t>
  </si>
  <si>
    <t>P_NT_2026716203046</t>
  </si>
  <si>
    <t>PL03 ( 20:10)</t>
  </si>
  <si>
    <t>PL10( 20:30)</t>
  </si>
  <si>
    <t>PL09 ( 15:10)</t>
  </si>
  <si>
    <t xml:space="preserve">Hang BU </t>
  </si>
  <si>
    <t>TIUB11BU1-1MZ2</t>
  </si>
  <si>
    <t>P_NT_202671621353</t>
  </si>
  <si>
    <t>P_NT_202671621544</t>
  </si>
  <si>
    <t>P_NT_2026716211943</t>
  </si>
  <si>
    <t>PL18(14:40,19:50)</t>
  </si>
  <si>
    <t>P_NT_202671731546</t>
  </si>
  <si>
    <t>P_NT_202671732951</t>
  </si>
  <si>
    <t>PL09 (22:30, 23:00 ,23:30)</t>
  </si>
  <si>
    <t>TIUB07C-1MZ</t>
  </si>
  <si>
    <t>P_NT_202671743433</t>
  </si>
  <si>
    <t>(PL11(3:15.4:00)</t>
  </si>
  <si>
    <t>P_NT_202671745555</t>
  </si>
  <si>
    <t>PL10 (1:00 ,1:20)</t>
  </si>
  <si>
    <t>P_NT_202671745841</t>
  </si>
  <si>
    <t>P_NT_202671751139</t>
  </si>
  <si>
    <t>P_NT_202671751220</t>
  </si>
  <si>
    <t>PL02(04:45)</t>
  </si>
  <si>
    <t>PL02(01:30)</t>
  </si>
  <si>
    <t xml:space="preserve">TU0425G-1MZ2 </t>
  </si>
  <si>
    <t>P_NT_202671754743</t>
  </si>
  <si>
    <t>PL08 (23:30,1:15,2:40)</t>
  </si>
  <si>
    <t>P_NT_202671755020</t>
  </si>
  <si>
    <t>PL17 (0:50, 2:50, 4:00)</t>
  </si>
  <si>
    <t>BAEUQ</t>
  </si>
  <si>
    <t>AF21758W2</t>
  </si>
  <si>
    <t>5AEUQ</t>
  </si>
  <si>
    <t>P_NT_2026717131251</t>
  </si>
  <si>
    <t>34N1230043</t>
  </si>
  <si>
    <t>P_NT_2026717131928</t>
  </si>
  <si>
    <t>P_NT_2026717131957</t>
  </si>
  <si>
    <t>PL07 (8:30 )</t>
  </si>
  <si>
    <t>PL07 (10:45)</t>
  </si>
  <si>
    <t>P_NT_202671713515</t>
  </si>
  <si>
    <t>PL19 (11:00 13:00)</t>
  </si>
  <si>
    <t>PL09 ( 6:35,7:25,11:50,13:20,13:50)</t>
  </si>
  <si>
    <t>TU0805G2-1MZ2</t>
  </si>
  <si>
    <t>P_NT_202671721437</t>
  </si>
  <si>
    <t>PL03 (20:50)</t>
  </si>
  <si>
    <t>TIUBO7BU-1MZ2</t>
  </si>
  <si>
    <t>TU0805BU2-1MZ2</t>
  </si>
  <si>
    <t>AF21998W2</t>
  </si>
  <si>
    <t>P_NT_20267185937</t>
  </si>
  <si>
    <t>PL03(0:50,1:20)</t>
  </si>
  <si>
    <t>AF22220W2</t>
  </si>
  <si>
    <t>P_NT_202671852551</t>
  </si>
  <si>
    <t>PL17 (0:40)</t>
  </si>
  <si>
    <t>P_NT_202671852938</t>
  </si>
  <si>
    <t>PL10 (00:30 ,1:00 .1:30 ,4:05)</t>
  </si>
  <si>
    <t>P_NT_202671854246</t>
  </si>
  <si>
    <t xml:space="preserve">TIUB07BU-1MZ2 </t>
  </si>
  <si>
    <t>P_NT_202671854858</t>
  </si>
  <si>
    <t>PL11(23:00)</t>
  </si>
  <si>
    <t>P_NT_202671813255</t>
  </si>
  <si>
    <t>DAEUR</t>
  </si>
  <si>
    <t>P_NT_2026718132610</t>
  </si>
  <si>
    <t>pl08 ( 6:20,   11:25)</t>
  </si>
  <si>
    <t>PL11 (  11:50 , 12:30 )</t>
  </si>
  <si>
    <t>P_NT_2026718133030</t>
  </si>
  <si>
    <t>34N1230054</t>
  </si>
  <si>
    <t>P_NT_202671813319</t>
  </si>
  <si>
    <t>PL10 ( 9:00)</t>
  </si>
  <si>
    <t>PL07 ( 08:30 )</t>
  </si>
  <si>
    <t>P_NT_2026718135158</t>
  </si>
  <si>
    <t>(11:50.12:10)</t>
  </si>
  <si>
    <t>P_NT_2026718135310</t>
  </si>
  <si>
    <t>PL22(8:40)</t>
  </si>
  <si>
    <t>P_NT_202671814418</t>
  </si>
  <si>
    <t>PL10 ( 16:00-17:00)</t>
  </si>
  <si>
    <t>PL16( 18:00-18:30)</t>
  </si>
  <si>
    <t>TU0425U-1MZ2</t>
  </si>
  <si>
    <t>P_NT_202671951516</t>
  </si>
  <si>
    <t>P_NT_2026720131658</t>
  </si>
  <si>
    <t xml:space="preserve"> PL09 (9:10)</t>
  </si>
  <si>
    <t>P_NT_2026720132710</t>
  </si>
  <si>
    <t>Hàng bù</t>
  </si>
  <si>
    <t>P_NT_202672019413</t>
  </si>
  <si>
    <t>P_NT_2026720194952</t>
  </si>
  <si>
    <t>P_NT_2026720195057</t>
  </si>
  <si>
    <t>P_NT_202672020010</t>
  </si>
  <si>
    <t>P_NT_2026720202639</t>
  </si>
  <si>
    <t>PL19(20:00)</t>
  </si>
  <si>
    <t>AF21747W2</t>
  </si>
  <si>
    <t>P_NT_2026720205245</t>
  </si>
  <si>
    <t>PL10  (15:30,16:00,18:00)</t>
  </si>
  <si>
    <t>34N1260017</t>
  </si>
  <si>
    <t>P_NT_2026720205734</t>
  </si>
  <si>
    <t>P_NT_20267202124</t>
  </si>
  <si>
    <t>PL11(14:40.16:40)</t>
  </si>
  <si>
    <t>P_NT_2026720212540</t>
  </si>
  <si>
    <t>PL03(18:30)</t>
  </si>
  <si>
    <t>P_NT_202672021277</t>
  </si>
  <si>
    <t>PL07 (17:30,20:15)</t>
  </si>
  <si>
    <t>AF22215W2</t>
  </si>
  <si>
    <t>P_NT_2026720215117</t>
  </si>
  <si>
    <t>P_NT_2026720215550</t>
  </si>
  <si>
    <t>CAEUT</t>
  </si>
  <si>
    <t>P_NT_202672144036</t>
  </si>
  <si>
    <t>P_NT_20267214442</t>
  </si>
  <si>
    <t>PL09(22:50,23:20,1:15)</t>
  </si>
  <si>
    <t>BAEUT</t>
  </si>
  <si>
    <t>PL10(3:00,5:00)</t>
  </si>
  <si>
    <t>FAEUT</t>
  </si>
  <si>
    <t>P_NT_202672152042</t>
  </si>
  <si>
    <t>PL15(00:10 ; 1:00)</t>
  </si>
  <si>
    <t>P_NT_20267215300</t>
  </si>
  <si>
    <t>PL19(0:00)</t>
  </si>
  <si>
    <t>P_NT_202672153419</t>
  </si>
  <si>
    <t>34N123005</t>
  </si>
  <si>
    <t>P_NT_202672153613</t>
  </si>
  <si>
    <t>PL16 ( 2:30, 3:55)</t>
  </si>
  <si>
    <t>PL17 ( 1:20)</t>
  </si>
  <si>
    <t>P_NT_202672155658</t>
  </si>
  <si>
    <t>P_NT_20267216014</t>
  </si>
  <si>
    <t>DFSFS</t>
  </si>
  <si>
    <t>P_NT_2026721105125</t>
  </si>
  <si>
    <t>AF21564W2</t>
  </si>
  <si>
    <t>BAEUU</t>
  </si>
  <si>
    <t>P_NT_2026721122113</t>
  </si>
  <si>
    <t>P_NT_2026721122320</t>
  </si>
  <si>
    <t>P_NT_2026721122830</t>
  </si>
  <si>
    <t>P_NT_2026721123215</t>
  </si>
  <si>
    <t>P_NT_2026721123636</t>
  </si>
  <si>
    <t>9DEUU</t>
  </si>
  <si>
    <t>P_NT_2026721131916</t>
  </si>
  <si>
    <t>FDGDFD</t>
  </si>
  <si>
    <t>P_NT_2026721132843</t>
  </si>
  <si>
    <t>P_NT_2026721133024</t>
  </si>
  <si>
    <t>P_NT_2026721153827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</si>
</sst>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h:mm;@"/>
    <numFmt numFmtId="165" formatCode="hh\ &quot;giờ&quot;\ mm"/>
    <numFmt numFmtId="166" formatCode="0.0"/>
    <numFmt numFmtId="167" formatCode="0.0%"/>
    <numFmt numFmtId="168" formatCode="yyyy\-mm\-dd;@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sz val="11"/>
      <name val="Arial"/>
      <family val="2"/>
    </font>
    <font>
      <sz val="9"/>
      <name val="Arial"/>
      <family val="2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sz val="12"/>
      <color theme="1"/>
      <name val="Arial"/>
      <family val="2"/>
    </font>
    <font>
      <sz val="14"/>
      <color rgb="FFFF0000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sz val="6"/>
      <color theme="1"/>
      <name val="Arial"/>
      <family val="2"/>
    </font>
    <font>
      <sz val="12"/>
      <color theme="1"/>
      <name val="Arial"/>
      <family val="2"/>
    </font>
    <font>
      <sz val="13"/>
      <color theme="1"/>
      <name val="Times New Roman"/>
      <family val="2"/>
    </font>
    <font>
      <sz val="9"/>
      <color rgb="FFFF0000"/>
      <name val="Arial"/>
      <family val="2"/>
    </font>
    <font>
      <sz val="8"/>
      <color rgb="FFFF0000"/>
      <name val="Arial"/>
      <family val="2"/>
    </font>
    <font>
      <b/>
      <sz val="6"/>
      <color rgb="FFFF0000"/>
      <name val="Arial"/>
      <family val="2"/>
    </font>
    <font>
      <sz val="7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FF0000"/>
      <name val="Arial"/>
      <family val="2"/>
    </font>
    <font>
      <sz val="11"/>
      <color rgb="FFFF0000"/>
      <name val="Arial"/>
      <family val="2"/>
    </font>
    <font>
      <sz val="8"/>
      <color rgb="FF000000"/>
      <name val="Segoe UI"/>
      <family val="2"/>
    </font>
    <font>
      <sz val="18"/>
      <color theme="1"/>
      <name val="Arial"/>
      <family val="2"/>
    </font>
    <font>
      <b/>
      <sz val="9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Calibri"/>
      <family val="2"/>
      <charset val="128"/>
      <scheme val="minor"/>
    </font>
    <font>
      <b/>
      <sz val="20"/>
      <color rgb="FFFF0000"/>
      <name val="Calibri"/>
      <family val="2"/>
      <scheme val="minor"/>
    </font>
    <font>
      <b/>
      <sz val="20"/>
      <color theme="9"/>
      <name val="Calibri"/>
      <family val="2"/>
      <scheme val="minor"/>
    </font>
    <font>
      <sz val="20"/>
      <name val="Arial"/>
      <family val="2"/>
    </font>
    <font>
      <sz val="22"/>
      <color theme="1"/>
      <name val="Arial"/>
      <family val="2"/>
    </font>
    <font>
      <b/>
      <sz val="18"/>
      <color rgb="FFFF0000"/>
      <name val="Arial"/>
      <family val="2"/>
    </font>
    <font>
      <sz val="8"/>
      <name val="Calibri"/>
      <family val="2"/>
      <scheme val="minor"/>
    </font>
    <font>
      <b/>
      <sz val="26"/>
      <color theme="9"/>
      <name val="Calibri"/>
      <family val="2"/>
      <scheme val="minor"/>
    </font>
    <font>
      <b/>
      <sz val="26"/>
      <color theme="7"/>
      <name val="Calibri"/>
      <family val="2"/>
      <scheme val="minor"/>
    </font>
    <font>
      <b/>
      <sz val="20"/>
      <color theme="7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36" fillId="0" borderId="0">
      <alignment vertical="center"/>
    </xf>
  </cellStyleXfs>
  <cellXfs count="415">
    <xf numFmtId="0" fontId="0" fillId="0" borderId="0" xfId="0"/>
    <xf numFmtId="0" fontId="0" fillId="0" borderId="7" xfId="0" applyBorder="1"/>
    <xf numFmtId="49" fontId="0" fillId="0" borderId="7" xfId="0" applyNumberFormat="1" applyBorder="1"/>
    <xf numFmtId="49" fontId="0" fillId="0" borderId="0" xfId="0" applyNumberFormat="1"/>
    <xf numFmtId="0" fontId="29" fillId="0" borderId="0" xfId="0" applyFont="1" applyAlignment="1">
      <alignment horizontal="center" vertical="center"/>
    </xf>
    <xf numFmtId="14" fontId="31" fillId="5" borderId="15" xfId="4" applyNumberFormat="1" applyFont="1" applyFill="1" applyBorder="1" applyAlignment="1">
      <alignment horizontal="left" vertical="center"/>
    </xf>
    <xf numFmtId="14" fontId="31" fillId="5" borderId="15" xfId="4" applyNumberFormat="1" applyFont="1" applyFill="1" applyBorder="1" applyAlignment="1">
      <alignment horizontal="center" vertical="center"/>
    </xf>
    <xf numFmtId="0" fontId="32" fillId="5" borderId="15" xfId="4" applyFont="1" applyFill="1" applyBorder="1" applyAlignment="1">
      <alignment horizontal="center" vertical="center" wrapText="1"/>
    </xf>
    <xf numFmtId="0" fontId="32" fillId="5" borderId="15" xfId="4" applyFont="1" applyFill="1" applyBorder="1" applyAlignment="1">
      <alignment horizontal="center" vertical="center"/>
    </xf>
    <xf numFmtId="0" fontId="32" fillId="5" borderId="17" xfId="4" applyFont="1" applyFill="1" applyBorder="1" applyAlignment="1">
      <alignment horizontal="center" vertical="center" wrapText="1"/>
    </xf>
    <xf numFmtId="0" fontId="33" fillId="2" borderId="15" xfId="4" applyFont="1" applyFill="1" applyBorder="1" applyAlignment="1">
      <alignment horizontal="center" vertical="center" wrapText="1"/>
    </xf>
    <xf numFmtId="0" fontId="33" fillId="0" borderId="15" xfId="4" applyFont="1" applyBorder="1" applyAlignment="1">
      <alignment horizontal="center" vertical="center" wrapText="1"/>
    </xf>
    <xf numFmtId="14" fontId="31" fillId="4" borderId="7" xfId="4" applyNumberFormat="1" applyFont="1" applyFill="1" applyBorder="1" applyAlignment="1">
      <alignment horizontal="left" vertical="center"/>
    </xf>
    <xf numFmtId="14" fontId="31" fillId="4" borderId="7" xfId="4" applyNumberFormat="1" applyFont="1" applyFill="1" applyBorder="1" applyAlignment="1">
      <alignment horizontal="center" vertical="center"/>
    </xf>
    <xf numFmtId="0" fontId="32" fillId="4" borderId="7" xfId="4" applyFont="1" applyFill="1" applyBorder="1" applyAlignment="1">
      <alignment horizontal="center" vertical="center"/>
    </xf>
    <xf numFmtId="0" fontId="32" fillId="4" borderId="1" xfId="4" applyFont="1" applyFill="1" applyBorder="1" applyAlignment="1">
      <alignment horizontal="center" vertical="center"/>
    </xf>
    <xf numFmtId="0" fontId="32" fillId="4" borderId="3" xfId="4" applyFont="1" applyFill="1" applyBorder="1" applyAlignment="1">
      <alignment horizontal="center" vertical="center"/>
    </xf>
    <xf numFmtId="0" fontId="33" fillId="2" borderId="7" xfId="4" applyFont="1" applyFill="1" applyBorder="1" applyAlignment="1">
      <alignment horizontal="center" vertical="center"/>
    </xf>
    <xf numFmtId="0" fontId="33" fillId="0" borderId="7" xfId="4" applyFont="1" applyBorder="1" applyAlignment="1">
      <alignment horizontal="center" vertical="center"/>
    </xf>
    <xf numFmtId="14" fontId="34" fillId="4" borderId="13" xfId="4" applyNumberFormat="1" applyFont="1" applyFill="1" applyBorder="1" applyAlignment="1">
      <alignment horizontal="left" vertical="center"/>
    </xf>
    <xf numFmtId="14" fontId="34" fillId="4" borderId="13" xfId="4" applyNumberFormat="1" applyFont="1" applyFill="1" applyBorder="1" applyAlignment="1">
      <alignment horizontal="center" vertical="center"/>
    </xf>
    <xf numFmtId="0" fontId="34" fillId="4" borderId="13" xfId="4" applyFont="1" applyFill="1" applyBorder="1" applyAlignment="1">
      <alignment horizontal="center" vertical="center"/>
    </xf>
    <xf numFmtId="0" fontId="34" fillId="4" borderId="4" xfId="4" applyFont="1" applyFill="1" applyBorder="1" applyAlignment="1">
      <alignment horizontal="center" vertical="center"/>
    </xf>
    <xf numFmtId="0" fontId="35" fillId="2" borderId="13" xfId="4" applyFont="1" applyFill="1" applyBorder="1" applyAlignment="1">
      <alignment horizontal="center" vertical="center"/>
    </xf>
    <xf numFmtId="0" fontId="35" fillId="0" borderId="13" xfId="4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33" fillId="0" borderId="17" xfId="4" applyFont="1" applyBorder="1" applyAlignment="1">
      <alignment horizontal="center" vertical="center" wrapText="1"/>
    </xf>
    <xf numFmtId="0" fontId="33" fillId="0" borderId="1" xfId="4" applyFont="1" applyBorder="1" applyAlignment="1">
      <alignment horizontal="center" vertical="center"/>
    </xf>
    <xf numFmtId="0" fontId="35" fillId="0" borderId="4" xfId="4" applyFont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0" fillId="2" borderId="7" xfId="0" applyFill="1" applyBorder="1" applyAlignment="1">
      <alignment horizontal="center"/>
    </xf>
    <xf numFmtId="3" fontId="11" fillId="2" borderId="7" xfId="1" applyNumberFormat="1" applyFont="1" applyFill="1" applyBorder="1" applyAlignment="1" applyProtection="1">
      <alignment horizontal="center" vertical="center"/>
      <protection locked="0"/>
    </xf>
    <xf numFmtId="166" fontId="2" fillId="3" borderId="0" xfId="1" applyNumberFormat="1" applyFont="1" applyFill="1" applyAlignment="1" applyProtection="1">
      <alignment horizontal="center" vertical="center"/>
      <protection locked="0"/>
    </xf>
    <xf numFmtId="0" fontId="2" fillId="3" borderId="0" xfId="1" applyFont="1" applyFill="1" applyAlignment="1" applyProtection="1">
      <alignment horizontal="center" vertical="center"/>
      <protection locked="0"/>
    </xf>
    <xf numFmtId="0" fontId="9" fillId="0" borderId="15" xfId="1" applyFont="1" applyBorder="1" applyAlignment="1" applyProtection="1">
      <alignment horizontal="center" vertical="center"/>
      <protection locked="0"/>
    </xf>
    <xf numFmtId="0" fontId="9" fillId="0" borderId="1" xfId="1" applyFont="1" applyBorder="1" applyAlignment="1" applyProtection="1">
      <alignment horizontal="center" vertical="center"/>
      <protection locked="0"/>
    </xf>
    <xf numFmtId="0" fontId="9" fillId="0" borderId="7" xfId="1" applyFont="1" applyBorder="1" applyAlignment="1" applyProtection="1">
      <alignment horizontal="center" vertical="center"/>
      <protection locked="0"/>
    </xf>
    <xf numFmtId="0" fontId="9" fillId="0" borderId="25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9" fillId="0" borderId="14" xfId="1" applyFont="1" applyBorder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2" fillId="0" borderId="0" xfId="1" applyFont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3" fillId="0" borderId="5" xfId="1" applyFont="1" applyBorder="1" applyAlignment="1">
      <alignment vertical="center"/>
    </xf>
    <xf numFmtId="0" fontId="2" fillId="0" borderId="0" xfId="1" applyFont="1" applyAlignment="1">
      <alignment vertical="center"/>
    </xf>
    <xf numFmtId="0" fontId="2" fillId="0" borderId="7" xfId="1" applyFont="1" applyBorder="1" applyAlignment="1">
      <alignment horizontal="center" vertical="center"/>
    </xf>
    <xf numFmtId="0" fontId="2" fillId="0" borderId="8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0" fontId="3" fillId="0" borderId="9" xfId="1" applyFont="1" applyBorder="1" applyAlignment="1">
      <alignment vertical="center"/>
    </xf>
    <xf numFmtId="0" fontId="2" fillId="0" borderId="11" xfId="1" applyFont="1" applyBorder="1" applyAlignment="1">
      <alignment horizontal="center" vertical="center"/>
    </xf>
    <xf numFmtId="0" fontId="6" fillId="0" borderId="7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8" fillId="0" borderId="7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8" fillId="0" borderId="12" xfId="1" applyFont="1" applyBorder="1" applyAlignment="1">
      <alignment vertical="center"/>
    </xf>
    <xf numFmtId="0" fontId="8" fillId="0" borderId="13" xfId="1" applyFont="1" applyBorder="1" applyAlignment="1">
      <alignment horizontal="center" vertical="center"/>
    </xf>
    <xf numFmtId="0" fontId="39" fillId="2" borderId="4" xfId="1" applyFont="1" applyFill="1" applyBorder="1" applyAlignment="1">
      <alignment horizontal="center" vertical="center" shrinkToFit="1"/>
    </xf>
    <xf numFmtId="0" fontId="15" fillId="2" borderId="13" xfId="1" applyFont="1" applyFill="1" applyBorder="1" applyAlignment="1">
      <alignment horizontal="center" vertical="center"/>
    </xf>
    <xf numFmtId="0" fontId="9" fillId="0" borderId="12" xfId="1" applyFont="1" applyBorder="1" applyAlignment="1">
      <alignment horizontal="center" vertical="center"/>
    </xf>
    <xf numFmtId="0" fontId="9" fillId="0" borderId="0" xfId="1" applyFont="1" applyAlignment="1">
      <alignment vertical="center"/>
    </xf>
    <xf numFmtId="0" fontId="9" fillId="0" borderId="20" xfId="1" applyFont="1" applyBorder="1" applyAlignment="1">
      <alignment vertical="center"/>
    </xf>
    <xf numFmtId="0" fontId="9" fillId="0" borderId="21" xfId="1" applyFont="1" applyBorder="1" applyAlignment="1">
      <alignment vertical="center"/>
    </xf>
    <xf numFmtId="0" fontId="8" fillId="0" borderId="12" xfId="1" applyFont="1" applyBorder="1" applyAlignment="1">
      <alignment horizontal="center" vertical="center"/>
    </xf>
    <xf numFmtId="0" fontId="9" fillId="0" borderId="1" xfId="1" applyFont="1" applyBorder="1" applyAlignment="1">
      <alignment vertical="center"/>
    </xf>
    <xf numFmtId="0" fontId="9" fillId="0" borderId="26" xfId="1" applyFont="1" applyBorder="1" applyAlignment="1">
      <alignment vertical="center"/>
    </xf>
    <xf numFmtId="20" fontId="9" fillId="0" borderId="1" xfId="1" applyNumberFormat="1" applyFont="1" applyBorder="1" applyAlignment="1">
      <alignment horizontal="left" vertical="center"/>
    </xf>
    <xf numFmtId="20" fontId="9" fillId="0" borderId="2" xfId="1" applyNumberFormat="1" applyFont="1" applyBorder="1" applyAlignment="1">
      <alignment horizontal="left" vertical="center"/>
    </xf>
    <xf numFmtId="20" fontId="9" fillId="0" borderId="3" xfId="1" applyNumberFormat="1" applyFont="1" applyBorder="1" applyAlignment="1">
      <alignment horizontal="left" vertical="center"/>
    </xf>
    <xf numFmtId="0" fontId="8" fillId="0" borderId="0" xfId="1" applyFont="1" applyAlignment="1">
      <alignment vertical="center"/>
    </xf>
    <xf numFmtId="20" fontId="9" fillId="0" borderId="22" xfId="1" applyNumberFormat="1" applyFont="1" applyBorder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9" fillId="3" borderId="15" xfId="1" applyFont="1" applyFill="1" applyBorder="1" applyAlignment="1">
      <alignment horizontal="center" vertical="center"/>
    </xf>
    <xf numFmtId="0" fontId="9" fillId="3" borderId="20" xfId="1" applyFont="1" applyFill="1" applyBorder="1" applyAlignment="1">
      <alignment vertical="center"/>
    </xf>
    <xf numFmtId="0" fontId="8" fillId="0" borderId="5" xfId="1" applyFont="1" applyBorder="1" applyAlignment="1">
      <alignment vertical="center"/>
    </xf>
    <xf numFmtId="0" fontId="17" fillId="0" borderId="0" xfId="2"/>
    <xf numFmtId="0" fontId="9" fillId="0" borderId="28" xfId="1" applyFont="1" applyBorder="1" applyAlignment="1">
      <alignment vertical="center"/>
    </xf>
    <xf numFmtId="0" fontId="9" fillId="0" borderId="2" xfId="1" applyFont="1" applyBorder="1" applyAlignment="1">
      <alignment horizontal="left" vertical="center"/>
    </xf>
    <xf numFmtId="0" fontId="9" fillId="0" borderId="3" xfId="1" applyFont="1" applyBorder="1" applyAlignment="1">
      <alignment horizontal="left" vertical="center"/>
    </xf>
    <xf numFmtId="20" fontId="9" fillId="3" borderId="1" xfId="1" applyNumberFormat="1" applyFont="1" applyFill="1" applyBorder="1" applyAlignment="1">
      <alignment horizontal="left" vertical="center"/>
    </xf>
    <xf numFmtId="20" fontId="9" fillId="3" borderId="2" xfId="1" applyNumberFormat="1" applyFont="1" applyFill="1" applyBorder="1" applyAlignment="1">
      <alignment horizontal="left" vertical="center"/>
    </xf>
    <xf numFmtId="20" fontId="9" fillId="3" borderId="3" xfId="1" applyNumberFormat="1" applyFont="1" applyFill="1" applyBorder="1" applyAlignment="1">
      <alignment horizontal="left" vertical="center"/>
    </xf>
    <xf numFmtId="0" fontId="9" fillId="3" borderId="1" xfId="1" applyFont="1" applyFill="1" applyBorder="1" applyAlignment="1">
      <alignment horizontal="center" vertical="center"/>
    </xf>
    <xf numFmtId="0" fontId="9" fillId="3" borderId="7" xfId="1" applyFont="1" applyFill="1" applyBorder="1" applyAlignment="1">
      <alignment horizontal="center" vertical="center"/>
    </xf>
    <xf numFmtId="0" fontId="9" fillId="3" borderId="21" xfId="1" applyFont="1" applyFill="1" applyBorder="1" applyAlignment="1">
      <alignment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left" vertical="center"/>
    </xf>
    <xf numFmtId="0" fontId="7" fillId="0" borderId="0" xfId="1" applyFont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0" fontId="9" fillId="3" borderId="16" xfId="1" applyFont="1" applyFill="1" applyBorder="1" applyAlignment="1">
      <alignment horizontal="center" vertical="center"/>
    </xf>
    <xf numFmtId="0" fontId="9" fillId="3" borderId="27" xfId="1" applyFont="1" applyFill="1" applyBorder="1" applyAlignment="1">
      <alignment vertical="center"/>
    </xf>
    <xf numFmtId="0" fontId="9" fillId="0" borderId="29" xfId="1" applyFont="1" applyBorder="1" applyAlignment="1">
      <alignment vertical="center"/>
    </xf>
    <xf numFmtId="0" fontId="2" fillId="0" borderId="0" xfId="1" applyFont="1" applyAlignment="1">
      <alignment horizontal="left" vertical="center"/>
    </xf>
    <xf numFmtId="0" fontId="8" fillId="0" borderId="0" xfId="1" applyFont="1" applyAlignment="1">
      <alignment horizontal="left" vertical="center"/>
    </xf>
    <xf numFmtId="2" fontId="28" fillId="3" borderId="14" xfId="1" applyNumberFormat="1" applyFont="1" applyFill="1" applyBorder="1" applyAlignment="1">
      <alignment horizontal="center" vertical="center"/>
    </xf>
    <xf numFmtId="0" fontId="9" fillId="0" borderId="4" xfId="1" applyFont="1" applyBorder="1" applyAlignment="1">
      <alignment vertical="center"/>
    </xf>
    <xf numFmtId="0" fontId="9" fillId="0" borderId="5" xfId="1" applyFont="1" applyBorder="1" applyAlignment="1">
      <alignment horizontal="center" vertical="center"/>
    </xf>
    <xf numFmtId="0" fontId="9" fillId="0" borderId="5" xfId="1" applyFont="1" applyBorder="1" applyAlignment="1">
      <alignment vertical="center"/>
    </xf>
    <xf numFmtId="0" fontId="9" fillId="0" borderId="6" xfId="1" applyFont="1" applyBorder="1" applyAlignment="1">
      <alignment vertical="center"/>
    </xf>
    <xf numFmtId="0" fontId="18" fillId="0" borderId="11" xfId="1" applyFont="1" applyBorder="1" applyAlignment="1">
      <alignment horizontal="left" vertical="center"/>
    </xf>
    <xf numFmtId="0" fontId="9" fillId="0" borderId="12" xfId="1" applyFont="1" applyBorder="1" applyAlignment="1">
      <alignment vertical="center"/>
    </xf>
    <xf numFmtId="0" fontId="19" fillId="0" borderId="11" xfId="1" applyFont="1" applyBorder="1" applyAlignment="1">
      <alignment horizontal="left" vertical="center"/>
    </xf>
    <xf numFmtId="0" fontId="20" fillId="0" borderId="0" xfId="1" applyFont="1" applyAlignment="1">
      <alignment horizontal="left" vertical="center"/>
    </xf>
    <xf numFmtId="0" fontId="20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5" fillId="0" borderId="12" xfId="1" applyFont="1" applyBorder="1" applyAlignment="1">
      <alignment vertical="center"/>
    </xf>
    <xf numFmtId="0" fontId="21" fillId="0" borderId="11" xfId="1" applyFont="1" applyBorder="1" applyAlignment="1">
      <alignment horizontal="left" vertical="center"/>
    </xf>
    <xf numFmtId="166" fontId="0" fillId="0" borderId="0" xfId="0" applyNumberFormat="1"/>
    <xf numFmtId="0" fontId="0" fillId="0" borderId="0" xfId="0" applyAlignment="1">
      <alignment horizontal="left"/>
    </xf>
    <xf numFmtId="0" fontId="9" fillId="0" borderId="0" xfId="1" applyFont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5" fillId="0" borderId="0" xfId="1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2" fontId="9" fillId="0" borderId="0" xfId="1" applyNumberFormat="1" applyFont="1" applyAlignment="1">
      <alignment horizontal="center" vertical="center"/>
    </xf>
    <xf numFmtId="0" fontId="0" fillId="6" borderId="0" xfId="0" applyFill="1"/>
    <xf numFmtId="0" fontId="0" fillId="0" borderId="36" xfId="0" applyBorder="1"/>
    <xf numFmtId="2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20" fontId="9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37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1" xfId="0" applyBorder="1"/>
    <xf numFmtId="0" fontId="0" fillId="0" borderId="12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32" fillId="5" borderId="15" xfId="4" applyNumberFormat="1" applyFont="1" applyFill="1" applyBorder="1" applyAlignment="1">
      <alignment horizontal="center" vertical="center" wrapText="1"/>
    </xf>
    <xf numFmtId="2" fontId="32" fillId="4" borderId="7" xfId="4" applyNumberFormat="1" applyFont="1" applyFill="1" applyBorder="1" applyAlignment="1">
      <alignment horizontal="center" vertical="center"/>
    </xf>
    <xf numFmtId="2" fontId="34" fillId="4" borderId="13" xfId="4" applyNumberFormat="1" applyFont="1" applyFill="1" applyBorder="1" applyAlignment="1">
      <alignment horizontal="center" vertical="center"/>
    </xf>
    <xf numFmtId="2" fontId="0" fillId="0" borderId="0" xfId="0" applyNumberFormat="1"/>
    <xf numFmtId="1" fontId="0" fillId="2" borderId="7" xfId="0" applyNumberFormat="1" applyFill="1" applyBorder="1" applyAlignment="1" applyProtection="1">
      <alignment horizontal="center" vertical="center"/>
      <protection locked="0"/>
    </xf>
    <xf numFmtId="168" fontId="31" fillId="5" borderId="15" xfId="4" applyNumberFormat="1" applyFont="1" applyFill="1" applyBorder="1" applyAlignment="1">
      <alignment horizontal="left" vertical="center"/>
    </xf>
    <xf numFmtId="168" fontId="31" fillId="4" borderId="7" xfId="4" applyNumberFormat="1" applyFont="1" applyFill="1" applyBorder="1" applyAlignment="1">
      <alignment horizontal="left" vertical="center"/>
    </xf>
    <xf numFmtId="168" fontId="34" fillId="4" borderId="13" xfId="4" applyNumberFormat="1" applyFont="1" applyFill="1" applyBorder="1" applyAlignment="1">
      <alignment horizontal="left" vertical="center"/>
    </xf>
    <xf numFmtId="168" fontId="0" fillId="0" borderId="0" xfId="0" applyNumberFormat="1"/>
    <xf numFmtId="168" fontId="31" fillId="5" borderId="15" xfId="4" applyNumberFormat="1" applyFont="1" applyFill="1" applyBorder="1" applyAlignment="1">
      <alignment horizontal="center" vertical="center"/>
    </xf>
    <xf numFmtId="168" fontId="31" fillId="4" borderId="7" xfId="4" applyNumberFormat="1" applyFont="1" applyFill="1" applyBorder="1" applyAlignment="1">
      <alignment horizontal="center" vertical="center"/>
    </xf>
    <xf numFmtId="168" fontId="34" fillId="4" borderId="13" xfId="4" applyNumberFormat="1" applyFont="1" applyFill="1" applyBorder="1" applyAlignment="1">
      <alignment horizontal="center" vertical="center"/>
    </xf>
    <xf numFmtId="20" fontId="2" fillId="0" borderId="0" xfId="1" applyNumberFormat="1" applyFont="1" applyAlignment="1">
      <alignment horizontal="center" vertical="center"/>
    </xf>
    <xf numFmtId="1" fontId="11" fillId="2" borderId="7" xfId="1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/>
    <xf numFmtId="0" fontId="33" fillId="2" borderId="11" xfId="4" applyFont="1" applyFill="1" applyBorder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166" fontId="0" fillId="2" borderId="0" xfId="0" applyNumberFormat="1" applyFill="1"/>
    <xf numFmtId="22" fontId="9" fillId="0" borderId="0" xfId="1" applyNumberFormat="1" applyFont="1" applyAlignment="1" applyProtection="1">
      <alignment horizontal="center" vertical="center"/>
      <protection locked="0"/>
    </xf>
    <xf numFmtId="0" fontId="0" fillId="7" borderId="36" xfId="0" applyFill="1" applyBorder="1"/>
    <xf numFmtId="0" fontId="0" fillId="7" borderId="7" xfId="0" applyFill="1" applyBorder="1"/>
    <xf numFmtId="0" fontId="48" fillId="0" borderId="0" xfId="0" applyFont="1"/>
    <xf numFmtId="2" fontId="48" fillId="0" borderId="0" xfId="0" applyNumberFormat="1" applyFont="1"/>
    <xf numFmtId="0" fontId="48" fillId="2" borderId="0" xfId="0" applyFont="1" applyFill="1"/>
    <xf numFmtId="0" fontId="9" fillId="3" borderId="17" xfId="1" applyFont="1" applyFill="1" applyBorder="1" applyAlignment="1">
      <alignment horizontal="center" vertical="center"/>
    </xf>
    <xf numFmtId="0" fontId="9" fillId="3" borderId="18" xfId="1" applyFont="1" applyFill="1" applyBorder="1" applyAlignment="1">
      <alignment horizontal="center" vertical="center"/>
    </xf>
    <xf numFmtId="0" fontId="9" fillId="3" borderId="19" xfId="1" applyFont="1" applyFill="1" applyBorder="1" applyAlignment="1">
      <alignment horizontal="center" vertical="center"/>
    </xf>
    <xf numFmtId="1" fontId="9" fillId="0" borderId="7" xfId="1" applyNumberFormat="1" applyFont="1" applyBorder="1" applyAlignment="1" applyProtection="1">
      <alignment horizontal="center" vertical="center"/>
      <protection locked="0"/>
    </xf>
    <xf numFmtId="1" fontId="9" fillId="3" borderId="1" xfId="1" applyNumberFormat="1" applyFont="1" applyFill="1" applyBorder="1" applyAlignment="1">
      <alignment horizontal="center" vertical="center"/>
    </xf>
    <xf numFmtId="1" fontId="9" fillId="3" borderId="2" xfId="1" applyNumberFormat="1" applyFont="1" applyFill="1" applyBorder="1" applyAlignment="1">
      <alignment horizontal="center" vertical="center"/>
    </xf>
    <xf numFmtId="1" fontId="9" fillId="3" borderId="3" xfId="1" applyNumberFormat="1" applyFont="1" applyFill="1" applyBorder="1" applyAlignment="1">
      <alignment horizontal="center" vertical="center"/>
    </xf>
    <xf numFmtId="1" fontId="9" fillId="0" borderId="13" xfId="1" applyNumberFormat="1" applyFont="1" applyBorder="1" applyAlignment="1" applyProtection="1">
      <alignment horizontal="center" vertical="center"/>
      <protection locked="0"/>
    </xf>
    <xf numFmtId="165" fontId="8" fillId="0" borderId="13" xfId="3" applyNumberFormat="1" applyFont="1" applyBorder="1" applyAlignment="1" applyProtection="1">
      <alignment horizontal="center" vertical="center"/>
      <protection locked="0"/>
    </xf>
    <xf numFmtId="1" fontId="9" fillId="0" borderId="25" xfId="1" applyNumberFormat="1" applyFont="1" applyBorder="1" applyAlignment="1" applyProtection="1">
      <alignment horizontal="center" vertical="center"/>
      <protection locked="0"/>
    </xf>
    <xf numFmtId="165" fontId="8" fillId="0" borderId="25" xfId="3" applyNumberFormat="1" applyFont="1" applyBorder="1" applyAlignment="1" applyProtection="1">
      <alignment horizontal="center" vertical="center"/>
      <protection locked="0"/>
    </xf>
    <xf numFmtId="165" fontId="8" fillId="0" borderId="7" xfId="3" applyNumberFormat="1" applyFont="1" applyBorder="1" applyAlignment="1" applyProtection="1">
      <alignment horizontal="center" vertical="center"/>
      <protection locked="0"/>
    </xf>
    <xf numFmtId="165" fontId="8" fillId="3" borderId="7" xfId="3" applyNumberFormat="1" applyFont="1" applyFill="1" applyBorder="1" applyAlignment="1">
      <alignment horizontal="center" vertical="center"/>
    </xf>
    <xf numFmtId="165" fontId="8" fillId="3" borderId="16" xfId="3" applyNumberFormat="1" applyFont="1" applyFill="1" applyBorder="1" applyAlignment="1">
      <alignment horizontal="center" vertical="center"/>
    </xf>
    <xf numFmtId="1" fontId="9" fillId="3" borderId="16" xfId="1" applyNumberFormat="1" applyFont="1" applyFill="1" applyBorder="1" applyAlignment="1">
      <alignment horizontal="center" vertical="center"/>
    </xf>
    <xf numFmtId="0" fontId="30" fillId="0" borderId="33" xfId="0" applyFont="1" applyBorder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30" fillId="0" borderId="35" xfId="0" applyFont="1" applyBorder="1" applyAlignment="1">
      <alignment horizontal="center" vertical="center" wrapText="1"/>
    </xf>
    <xf numFmtId="20" fontId="6" fillId="0" borderId="1" xfId="1" applyNumberFormat="1" applyFont="1" applyBorder="1" applyAlignment="1">
      <alignment horizontal="left" vertical="center"/>
    </xf>
    <xf numFmtId="20" fontId="6" fillId="0" borderId="2" xfId="1" applyNumberFormat="1" applyFont="1" applyBorder="1" applyAlignment="1">
      <alignment horizontal="left" vertical="center"/>
    </xf>
    <xf numFmtId="20" fontId="6" fillId="0" borderId="3" xfId="1" applyNumberFormat="1" applyFont="1" applyBorder="1" applyAlignment="1">
      <alignment horizontal="left" vertical="center"/>
    </xf>
    <xf numFmtId="20" fontId="6" fillId="0" borderId="22" xfId="1" applyNumberFormat="1" applyFont="1" applyBorder="1" applyAlignment="1">
      <alignment horizontal="left" vertical="center"/>
    </xf>
    <xf numFmtId="20" fontId="6" fillId="0" borderId="24" xfId="1" applyNumberFormat="1" applyFont="1" applyBorder="1" applyAlignment="1">
      <alignment horizontal="left" vertical="center"/>
    </xf>
    <xf numFmtId="20" fontId="6" fillId="0" borderId="23" xfId="1" applyNumberFormat="1" applyFont="1" applyBorder="1" applyAlignment="1">
      <alignment horizontal="left" vertical="center"/>
    </xf>
    <xf numFmtId="0" fontId="9" fillId="0" borderId="3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9" fillId="0" borderId="25" xfId="1" applyFont="1" applyBorder="1" applyAlignment="1">
      <alignment horizontal="center" vertical="center"/>
    </xf>
    <xf numFmtId="0" fontId="9" fillId="3" borderId="15" xfId="1" applyFont="1" applyFill="1" applyBorder="1" applyAlignment="1">
      <alignment horizontal="center" vertical="center"/>
    </xf>
    <xf numFmtId="20" fontId="9" fillId="0" borderId="3" xfId="1" applyNumberFormat="1" applyFont="1" applyBorder="1" applyAlignment="1">
      <alignment horizontal="left" vertical="center"/>
    </xf>
    <xf numFmtId="20" fontId="9" fillId="0" borderId="7" xfId="1" applyNumberFormat="1" applyFont="1" applyBorder="1" applyAlignment="1">
      <alignment horizontal="left" vertical="center"/>
    </xf>
    <xf numFmtId="20" fontId="6" fillId="3" borderId="17" xfId="1" applyNumberFormat="1" applyFont="1" applyFill="1" applyBorder="1" applyAlignment="1">
      <alignment horizontal="left" vertical="center"/>
    </xf>
    <xf numFmtId="20" fontId="6" fillId="3" borderId="18" xfId="1" applyNumberFormat="1" applyFont="1" applyFill="1" applyBorder="1" applyAlignment="1">
      <alignment horizontal="left" vertical="center"/>
    </xf>
    <xf numFmtId="20" fontId="6" fillId="3" borderId="19" xfId="1" applyNumberFormat="1" applyFont="1" applyFill="1" applyBorder="1" applyAlignment="1">
      <alignment horizontal="left" vertical="center"/>
    </xf>
    <xf numFmtId="20" fontId="9" fillId="0" borderId="23" xfId="1" applyNumberFormat="1" applyFont="1" applyBorder="1" applyAlignment="1">
      <alignment horizontal="left" vertical="center"/>
    </xf>
    <xf numFmtId="20" fontId="9" fillId="0" borderId="25" xfId="1" applyNumberFormat="1" applyFont="1" applyBorder="1" applyAlignment="1">
      <alignment horizontal="left" vertical="center"/>
    </xf>
    <xf numFmtId="0" fontId="30" fillId="0" borderId="30" xfId="0" applyFont="1" applyBorder="1" applyAlignment="1">
      <alignment horizontal="center" vertical="center" wrapText="1"/>
    </xf>
    <xf numFmtId="0" fontId="30" fillId="0" borderId="31" xfId="0" applyFont="1" applyBorder="1" applyAlignment="1">
      <alignment horizontal="center" vertical="center" wrapText="1"/>
    </xf>
    <xf numFmtId="0" fontId="30" fillId="0" borderId="32" xfId="0" applyFont="1" applyBorder="1" applyAlignment="1">
      <alignment horizontal="center" vertical="center" wrapText="1"/>
    </xf>
    <xf numFmtId="20" fontId="9" fillId="3" borderId="15" xfId="1" applyNumberFormat="1" applyFont="1" applyFill="1" applyBorder="1" applyAlignment="1">
      <alignment horizontal="left" vertical="center"/>
    </xf>
    <xf numFmtId="0" fontId="8" fillId="3" borderId="15" xfId="3" applyFont="1" applyFill="1" applyBorder="1" applyAlignment="1">
      <alignment horizontal="center" vertical="center"/>
    </xf>
    <xf numFmtId="165" fontId="8" fillId="3" borderId="15" xfId="3" applyNumberFormat="1" applyFont="1" applyFill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9" fillId="3" borderId="2" xfId="1" applyFont="1" applyFill="1" applyBorder="1" applyAlignment="1">
      <alignment horizontal="center" vertical="center"/>
    </xf>
    <xf numFmtId="0" fontId="9" fillId="3" borderId="3" xfId="1" applyFont="1" applyFill="1" applyBorder="1" applyAlignment="1">
      <alignment horizontal="center" vertical="center"/>
    </xf>
    <xf numFmtId="0" fontId="16" fillId="0" borderId="1" xfId="1" applyFont="1" applyBorder="1" applyAlignment="1">
      <alignment horizontal="left" vertical="center"/>
    </xf>
    <xf numFmtId="0" fontId="16" fillId="0" borderId="2" xfId="1" applyFont="1" applyBorder="1" applyAlignment="1">
      <alignment horizontal="left" vertical="center"/>
    </xf>
    <xf numFmtId="0" fontId="16" fillId="0" borderId="3" xfId="1" applyFont="1" applyBorder="1" applyAlignment="1">
      <alignment horizontal="left" vertical="center"/>
    </xf>
    <xf numFmtId="0" fontId="7" fillId="2" borderId="1" xfId="1" applyFont="1" applyFill="1" applyBorder="1" applyAlignment="1" applyProtection="1">
      <alignment horizontal="center" vertical="center"/>
      <protection locked="0"/>
    </xf>
    <xf numFmtId="0" fontId="7" fillId="2" borderId="2" xfId="1" applyFont="1" applyFill="1" applyBorder="1" applyAlignment="1" applyProtection="1">
      <alignment horizontal="center" vertical="center"/>
      <protection locked="0"/>
    </xf>
    <xf numFmtId="0" fontId="7" fillId="2" borderId="3" xfId="1" applyFont="1" applyFill="1" applyBorder="1" applyAlignment="1" applyProtection="1">
      <alignment horizontal="center" vertical="center"/>
      <protection locked="0"/>
    </xf>
    <xf numFmtId="0" fontId="9" fillId="0" borderId="11" xfId="1" applyFont="1" applyBorder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9" fillId="0" borderId="12" xfId="1" applyFont="1" applyBorder="1" applyAlignment="1">
      <alignment horizontal="left" vertical="center"/>
    </xf>
    <xf numFmtId="0" fontId="9" fillId="0" borderId="8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5" fillId="2" borderId="4" xfId="1" applyFont="1" applyFill="1" applyBorder="1" applyAlignment="1" applyProtection="1">
      <alignment horizontal="center" vertical="center"/>
      <protection locked="0"/>
    </xf>
    <xf numFmtId="0" fontId="5" fillId="2" borderId="5" xfId="1" applyFont="1" applyFill="1" applyBorder="1" applyAlignment="1" applyProtection="1">
      <alignment horizontal="center" vertical="center"/>
      <protection locked="0"/>
    </xf>
    <xf numFmtId="0" fontId="5" fillId="2" borderId="6" xfId="1" applyFont="1" applyFill="1" applyBorder="1" applyAlignment="1" applyProtection="1">
      <alignment horizontal="center" vertical="center"/>
      <protection locked="0"/>
    </xf>
    <xf numFmtId="0" fontId="5" fillId="2" borderId="8" xfId="1" applyFont="1" applyFill="1" applyBorder="1" applyAlignment="1" applyProtection="1">
      <alignment horizontal="center" vertical="center"/>
      <protection locked="0"/>
    </xf>
    <xf numFmtId="0" fontId="5" fillId="2" borderId="9" xfId="1" applyFont="1" applyFill="1" applyBorder="1" applyAlignment="1" applyProtection="1">
      <alignment horizontal="center" vertical="center"/>
      <protection locked="0"/>
    </xf>
    <xf numFmtId="0" fontId="5" fillId="2" borderId="10" xfId="1" applyFont="1" applyFill="1" applyBorder="1" applyAlignment="1" applyProtection="1">
      <alignment horizontal="center" vertical="center"/>
      <protection locked="0"/>
    </xf>
    <xf numFmtId="0" fontId="24" fillId="0" borderId="4" xfId="1" applyFont="1" applyBorder="1" applyAlignment="1">
      <alignment horizontal="left" vertical="center" wrapText="1"/>
    </xf>
    <xf numFmtId="0" fontId="24" fillId="0" borderId="5" xfId="1" applyFont="1" applyBorder="1" applyAlignment="1">
      <alignment horizontal="left" vertical="center" wrapText="1"/>
    </xf>
    <xf numFmtId="0" fontId="24" fillId="0" borderId="6" xfId="1" applyFont="1" applyBorder="1" applyAlignment="1">
      <alignment horizontal="left" vertical="center" wrapText="1"/>
    </xf>
    <xf numFmtId="0" fontId="24" fillId="0" borderId="8" xfId="1" applyFont="1" applyBorder="1" applyAlignment="1">
      <alignment horizontal="left" vertical="center" wrapText="1"/>
    </xf>
    <xf numFmtId="0" fontId="24" fillId="0" borderId="9" xfId="1" applyFont="1" applyBorder="1" applyAlignment="1">
      <alignment horizontal="left" vertical="center" wrapText="1"/>
    </xf>
    <xf numFmtId="0" fontId="24" fillId="0" borderId="10" xfId="1" applyFont="1" applyBorder="1" applyAlignment="1">
      <alignment horizontal="left" vertical="center" wrapText="1"/>
    </xf>
    <xf numFmtId="0" fontId="10" fillId="3" borderId="1" xfId="1" applyFont="1" applyFill="1" applyBorder="1" applyAlignment="1">
      <alignment horizontal="center" vertical="center"/>
    </xf>
    <xf numFmtId="0" fontId="10" fillId="3" borderId="2" xfId="1" applyFont="1" applyFill="1" applyBorder="1" applyAlignment="1">
      <alignment horizontal="center" vertical="center"/>
    </xf>
    <xf numFmtId="0" fontId="10" fillId="3" borderId="3" xfId="1" applyFont="1" applyFill="1" applyBorder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25" fillId="2" borderId="4" xfId="1" applyFont="1" applyFill="1" applyBorder="1" applyAlignment="1" applyProtection="1">
      <alignment horizontal="center" vertical="center" wrapText="1"/>
      <protection locked="0"/>
    </xf>
    <xf numFmtId="0" fontId="25" fillId="2" borderId="5" xfId="1" applyFont="1" applyFill="1" applyBorder="1" applyAlignment="1" applyProtection="1">
      <alignment horizontal="center" vertical="center" wrapText="1"/>
      <protection locked="0"/>
    </xf>
    <xf numFmtId="0" fontId="25" fillId="2" borderId="6" xfId="1" applyFont="1" applyFill="1" applyBorder="1" applyAlignment="1" applyProtection="1">
      <alignment horizontal="center" vertical="center" wrapText="1"/>
      <protection locked="0"/>
    </xf>
    <xf numFmtId="0" fontId="25" fillId="2" borderId="8" xfId="1" applyFont="1" applyFill="1" applyBorder="1" applyAlignment="1" applyProtection="1">
      <alignment horizontal="center" vertical="center" wrapText="1"/>
      <protection locked="0"/>
    </xf>
    <xf numFmtId="0" fontId="25" fillId="2" borderId="9" xfId="1" applyFont="1" applyFill="1" applyBorder="1" applyAlignment="1" applyProtection="1">
      <alignment horizontal="center" vertical="center" wrapText="1"/>
      <protection locked="0"/>
    </xf>
    <xf numFmtId="0" fontId="25" fillId="2" borderId="10" xfId="1" applyFont="1" applyFill="1" applyBorder="1" applyAlignment="1" applyProtection="1">
      <alignment horizontal="center" vertical="center" wrapText="1"/>
      <protection locked="0"/>
    </xf>
    <xf numFmtId="0" fontId="25" fillId="0" borderId="4" xfId="1" applyFont="1" applyBorder="1" applyAlignment="1">
      <alignment horizontal="center" vertical="center" wrapText="1"/>
    </xf>
    <xf numFmtId="0" fontId="25" fillId="0" borderId="5" xfId="1" applyFont="1" applyBorder="1" applyAlignment="1">
      <alignment horizontal="center" vertical="center" wrapText="1"/>
    </xf>
    <xf numFmtId="0" fontId="25" fillId="0" borderId="6" xfId="1" applyFont="1" applyBorder="1" applyAlignment="1">
      <alignment horizontal="center" vertical="center" wrapText="1"/>
    </xf>
    <xf numFmtId="0" fontId="25" fillId="0" borderId="8" xfId="1" applyFont="1" applyBorder="1" applyAlignment="1">
      <alignment horizontal="center" vertical="center" wrapText="1"/>
    </xf>
    <xf numFmtId="0" fontId="25" fillId="0" borderId="9" xfId="1" applyFont="1" applyBorder="1" applyAlignment="1">
      <alignment horizontal="center" vertical="center" wrapText="1"/>
    </xf>
    <xf numFmtId="0" fontId="25" fillId="0" borderId="10" xfId="1" applyFont="1" applyBorder="1" applyAlignment="1">
      <alignment horizontal="center" vertical="center" wrapText="1"/>
    </xf>
    <xf numFmtId="0" fontId="9" fillId="0" borderId="4" xfId="1" applyFont="1" applyBorder="1" applyAlignment="1">
      <alignment horizontal="left" vertical="center"/>
    </xf>
    <xf numFmtId="0" fontId="9" fillId="0" borderId="5" xfId="1" applyFont="1" applyBorder="1" applyAlignment="1">
      <alignment horizontal="left" vertical="center"/>
    </xf>
    <xf numFmtId="0" fontId="9" fillId="0" borderId="6" xfId="1" applyFont="1" applyBorder="1" applyAlignment="1">
      <alignment horizontal="left" vertical="center"/>
    </xf>
    <xf numFmtId="0" fontId="9" fillId="0" borderId="8" xfId="1" applyFont="1" applyBorder="1" applyAlignment="1">
      <alignment horizontal="left" vertical="center"/>
    </xf>
    <xf numFmtId="0" fontId="9" fillId="0" borderId="9" xfId="1" applyFont="1" applyBorder="1" applyAlignment="1">
      <alignment horizontal="left" vertical="center"/>
    </xf>
    <xf numFmtId="0" fontId="9" fillId="0" borderId="10" xfId="1" applyFont="1" applyBorder="1" applyAlignment="1">
      <alignment horizontal="left" vertical="center"/>
    </xf>
    <xf numFmtId="166" fontId="41" fillId="3" borderId="7" xfId="1" applyNumberFormat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9" fillId="3" borderId="4" xfId="1" applyFont="1" applyFill="1" applyBorder="1" applyAlignment="1">
      <alignment horizontal="center" vertical="center"/>
    </xf>
    <xf numFmtId="0" fontId="9" fillId="3" borderId="5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0" fontId="9" fillId="3" borderId="8" xfId="1" applyFont="1" applyFill="1" applyBorder="1" applyAlignment="1">
      <alignment horizontal="center" vertical="center"/>
    </xf>
    <xf numFmtId="0" fontId="9" fillId="3" borderId="9" xfId="1" applyFont="1" applyFill="1" applyBorder="1" applyAlignment="1">
      <alignment horizontal="center" vertical="center"/>
    </xf>
    <xf numFmtId="0" fontId="9" fillId="3" borderId="10" xfId="1" applyFont="1" applyFill="1" applyBorder="1" applyAlignment="1">
      <alignment horizontal="center" vertical="center"/>
    </xf>
    <xf numFmtId="0" fontId="3" fillId="2" borderId="4" xfId="1" applyFont="1" applyFill="1" applyBorder="1" applyAlignment="1" applyProtection="1">
      <alignment horizontal="center" vertical="center"/>
      <protection locked="0"/>
    </xf>
    <xf numFmtId="0" fontId="3" fillId="2" borderId="5" xfId="1" applyFont="1" applyFill="1" applyBorder="1" applyAlignment="1" applyProtection="1">
      <alignment horizontal="center" vertical="center"/>
      <protection locked="0"/>
    </xf>
    <xf numFmtId="0" fontId="3" fillId="2" borderId="6" xfId="1" applyFont="1" applyFill="1" applyBorder="1" applyAlignment="1" applyProtection="1">
      <alignment horizontal="center" vertical="center"/>
      <protection locked="0"/>
    </xf>
    <xf numFmtId="0" fontId="3" fillId="2" borderId="8" xfId="1" applyFont="1" applyFill="1" applyBorder="1" applyAlignment="1" applyProtection="1">
      <alignment horizontal="center" vertical="center"/>
      <protection locked="0"/>
    </xf>
    <xf numFmtId="0" fontId="3" fillId="2" borderId="9" xfId="1" applyFont="1" applyFill="1" applyBorder="1" applyAlignment="1" applyProtection="1">
      <alignment horizontal="center" vertical="center"/>
      <protection locked="0"/>
    </xf>
    <xf numFmtId="0" fontId="3" fillId="2" borderId="10" xfId="1" applyFont="1" applyFill="1" applyBorder="1" applyAlignment="1" applyProtection="1">
      <alignment horizontal="center" vertical="center"/>
      <protection locked="0"/>
    </xf>
    <xf numFmtId="20" fontId="9" fillId="0" borderId="1" xfId="1" applyNumberFormat="1" applyFont="1" applyBorder="1" applyAlignment="1">
      <alignment horizontal="left" vertical="center"/>
    </xf>
    <xf numFmtId="20" fontId="9" fillId="0" borderId="2" xfId="1" applyNumberFormat="1" applyFont="1" applyBorder="1" applyAlignment="1">
      <alignment horizontal="left" vertical="center"/>
    </xf>
    <xf numFmtId="20" fontId="9" fillId="0" borderId="17" xfId="1" applyNumberFormat="1" applyFont="1" applyBorder="1" applyAlignment="1">
      <alignment horizontal="left" vertical="center"/>
    </xf>
    <xf numFmtId="20" fontId="9" fillId="0" borderId="18" xfId="1" applyNumberFormat="1" applyFont="1" applyBorder="1" applyAlignment="1">
      <alignment horizontal="left" vertical="center"/>
    </xf>
    <xf numFmtId="20" fontId="9" fillId="0" borderId="19" xfId="1" applyNumberFormat="1" applyFont="1" applyBorder="1" applyAlignment="1">
      <alignment horizontal="left" vertical="center"/>
    </xf>
    <xf numFmtId="0" fontId="24" fillId="0" borderId="1" xfId="1" applyFont="1" applyBorder="1" applyAlignment="1">
      <alignment horizontal="center" vertical="center"/>
    </xf>
    <xf numFmtId="0" fontId="24" fillId="0" borderId="2" xfId="1" applyFont="1" applyBorder="1" applyAlignment="1">
      <alignment horizontal="center" vertical="center"/>
    </xf>
    <xf numFmtId="0" fontId="24" fillId="0" borderId="3" xfId="1" applyFont="1" applyBorder="1" applyAlignment="1">
      <alignment horizontal="center" vertical="center"/>
    </xf>
    <xf numFmtId="1" fontId="9" fillId="0" borderId="15" xfId="1" applyNumberFormat="1" applyFont="1" applyBorder="1" applyAlignment="1" applyProtection="1">
      <alignment horizontal="center" vertical="center"/>
      <protection locked="0"/>
    </xf>
    <xf numFmtId="165" fontId="8" fillId="0" borderId="15" xfId="3" applyNumberFormat="1" applyFont="1" applyBorder="1" applyAlignment="1" applyProtection="1">
      <alignment horizontal="center" vertical="center"/>
      <protection locked="0"/>
    </xf>
    <xf numFmtId="0" fontId="9" fillId="2" borderId="4" xfId="1" applyFont="1" applyFill="1" applyBorder="1" applyAlignment="1" applyProtection="1">
      <alignment horizontal="center" vertical="center"/>
      <protection locked="0"/>
    </xf>
    <xf numFmtId="0" fontId="9" fillId="2" borderId="5" xfId="1" applyFont="1" applyFill="1" applyBorder="1" applyAlignment="1" applyProtection="1">
      <alignment horizontal="center" vertical="center"/>
      <protection locked="0"/>
    </xf>
    <xf numFmtId="0" fontId="9" fillId="2" borderId="6" xfId="1" applyFont="1" applyFill="1" applyBorder="1" applyAlignment="1" applyProtection="1">
      <alignment horizontal="center" vertical="center"/>
      <protection locked="0"/>
    </xf>
    <xf numFmtId="0" fontId="9" fillId="2" borderId="8" xfId="1" applyFont="1" applyFill="1" applyBorder="1" applyAlignment="1" applyProtection="1">
      <alignment horizontal="center" vertical="center"/>
      <protection locked="0"/>
    </xf>
    <xf numFmtId="0" fontId="9" fillId="2" borderId="9" xfId="1" applyFont="1" applyFill="1" applyBorder="1" applyAlignment="1" applyProtection="1">
      <alignment horizontal="center" vertical="center"/>
      <protection locked="0"/>
    </xf>
    <xf numFmtId="0" fontId="9" fillId="2" borderId="10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6" fillId="2" borderId="5" xfId="1" applyFont="1" applyFill="1" applyBorder="1" applyAlignment="1" applyProtection="1">
      <alignment horizontal="center" vertical="center"/>
      <protection locked="0"/>
    </xf>
    <xf numFmtId="0" fontId="16" fillId="2" borderId="6" xfId="1" applyFont="1" applyFill="1" applyBorder="1" applyAlignment="1" applyProtection="1">
      <alignment horizontal="center" vertical="center"/>
      <protection locked="0"/>
    </xf>
    <xf numFmtId="0" fontId="16" fillId="2" borderId="8" xfId="1" applyFont="1" applyFill="1" applyBorder="1" applyAlignment="1" applyProtection="1">
      <alignment horizontal="center" vertical="center"/>
      <protection locked="0"/>
    </xf>
    <xf numFmtId="0" fontId="16" fillId="2" borderId="9" xfId="1" applyFont="1" applyFill="1" applyBorder="1" applyAlignment="1" applyProtection="1">
      <alignment horizontal="center" vertical="center"/>
      <protection locked="0"/>
    </xf>
    <xf numFmtId="0" fontId="16" fillId="2" borderId="10" xfId="1" applyFont="1" applyFill="1" applyBorder="1" applyAlignment="1" applyProtection="1">
      <alignment horizontal="center" vertical="center"/>
      <protection locked="0"/>
    </xf>
    <xf numFmtId="0" fontId="16" fillId="2" borderId="13" xfId="1" applyFont="1" applyFill="1" applyBorder="1" applyAlignment="1" applyProtection="1">
      <alignment horizontal="center" vertical="center"/>
      <protection locked="0"/>
    </xf>
    <xf numFmtId="0" fontId="16" fillId="2" borderId="14" xfId="1" applyFont="1" applyFill="1" applyBorder="1" applyAlignment="1" applyProtection="1">
      <alignment horizontal="center" vertical="center"/>
      <protection locked="0"/>
    </xf>
    <xf numFmtId="0" fontId="11" fillId="2" borderId="7" xfId="1" applyFont="1" applyFill="1" applyBorder="1" applyAlignment="1" applyProtection="1">
      <alignment horizontal="center" vertical="center"/>
      <protection locked="0"/>
    </xf>
    <xf numFmtId="166" fontId="3" fillId="3" borderId="4" xfId="1" applyNumberFormat="1" applyFont="1" applyFill="1" applyBorder="1" applyAlignment="1">
      <alignment horizontal="center" vertical="center"/>
    </xf>
    <xf numFmtId="0" fontId="3" fillId="3" borderId="5" xfId="1" applyFont="1" applyFill="1" applyBorder="1" applyAlignment="1">
      <alignment horizontal="center" vertical="center"/>
    </xf>
    <xf numFmtId="0" fontId="3" fillId="3" borderId="6" xfId="1" applyFont="1" applyFill="1" applyBorder="1" applyAlignment="1">
      <alignment horizontal="center" vertical="center"/>
    </xf>
    <xf numFmtId="0" fontId="3" fillId="3" borderId="8" xfId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16" fillId="2" borderId="7" xfId="1" applyFont="1" applyFill="1" applyBorder="1" applyAlignment="1" applyProtection="1">
      <alignment horizontal="center" vertical="center"/>
      <protection locked="0"/>
    </xf>
    <xf numFmtId="0" fontId="9" fillId="0" borderId="19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20" fontId="9" fillId="0" borderId="15" xfId="1" applyNumberFormat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6" xfId="1" applyFont="1" applyFill="1" applyBorder="1" applyAlignment="1">
      <alignment horizontal="center" vertical="center"/>
    </xf>
    <xf numFmtId="20" fontId="11" fillId="2" borderId="7" xfId="1" applyNumberFormat="1" applyFont="1" applyFill="1" applyBorder="1" applyAlignment="1" applyProtection="1">
      <alignment horizontal="center" vertical="center"/>
      <protection locked="0"/>
    </xf>
    <xf numFmtId="166" fontId="11" fillId="2" borderId="7" xfId="1" applyNumberFormat="1" applyFont="1" applyFill="1" applyBorder="1" applyAlignment="1" applyProtection="1">
      <alignment horizontal="center" vertical="center"/>
      <protection locked="0"/>
    </xf>
    <xf numFmtId="0" fontId="8" fillId="0" borderId="1" xfId="1" applyFont="1" applyBorder="1" applyAlignment="1">
      <alignment horizontal="left" vertical="center"/>
    </xf>
    <xf numFmtId="0" fontId="8" fillId="0" borderId="2" xfId="1" applyFont="1" applyBorder="1" applyAlignment="1">
      <alignment horizontal="left" vertical="center"/>
    </xf>
    <xf numFmtId="0" fontId="24" fillId="0" borderId="7" xfId="1" applyFont="1" applyBorder="1" applyAlignment="1">
      <alignment horizontal="center" vertical="center"/>
    </xf>
    <xf numFmtId="0" fontId="8" fillId="0" borderId="7" xfId="1" applyFont="1" applyBorder="1" applyAlignment="1">
      <alignment horizontal="center" vertical="center"/>
    </xf>
    <xf numFmtId="0" fontId="13" fillId="0" borderId="3" xfId="1" applyFont="1" applyBorder="1" applyAlignment="1">
      <alignment horizontal="center" vertical="center"/>
    </xf>
    <xf numFmtId="0" fontId="13" fillId="0" borderId="7" xfId="1" applyFont="1" applyBorder="1" applyAlignment="1">
      <alignment horizontal="center" vertical="center"/>
    </xf>
    <xf numFmtId="0" fontId="27" fillId="2" borderId="7" xfId="1" applyFont="1" applyFill="1" applyBorder="1" applyAlignment="1" applyProtection="1">
      <alignment horizontal="center" vertical="center"/>
      <protection locked="0"/>
    </xf>
    <xf numFmtId="2" fontId="0" fillId="3" borderId="13" xfId="0" applyNumberFormat="1" applyFill="1" applyBorder="1" applyAlignment="1">
      <alignment horizontal="center" vertical="center"/>
    </xf>
    <xf numFmtId="2" fontId="0" fillId="3" borderId="14" xfId="0" applyNumberFormat="1" applyFill="1" applyBorder="1" applyAlignment="1">
      <alignment horizontal="center" vertical="center"/>
    </xf>
    <xf numFmtId="0" fontId="2" fillId="0" borderId="0" xfId="1" applyFont="1" applyAlignment="1">
      <alignment horizontal="right" vertical="center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4" fillId="0" borderId="5" xfId="1" applyFont="1" applyBorder="1" applyAlignment="1">
      <alignment horizontal="left" vertical="center"/>
    </xf>
    <xf numFmtId="0" fontId="4" fillId="0" borderId="6" xfId="1" applyFont="1" applyBorder="1" applyAlignment="1">
      <alignment horizontal="left" vertical="center"/>
    </xf>
    <xf numFmtId="0" fontId="4" fillId="0" borderId="9" xfId="1" applyFont="1" applyBorder="1" applyAlignment="1">
      <alignment horizontal="left" vertical="center"/>
    </xf>
    <xf numFmtId="0" fontId="4" fillId="0" borderId="10" xfId="1" applyFont="1" applyBorder="1" applyAlignment="1">
      <alignment horizontal="left" vertical="center"/>
    </xf>
    <xf numFmtId="0" fontId="2" fillId="0" borderId="7" xfId="1" applyFont="1" applyBorder="1" applyAlignment="1">
      <alignment horizontal="center" vertical="center"/>
    </xf>
    <xf numFmtId="0" fontId="40" fillId="3" borderId="4" xfId="1" applyFont="1" applyFill="1" applyBorder="1" applyAlignment="1">
      <alignment horizontal="center" vertical="center"/>
    </xf>
    <xf numFmtId="0" fontId="40" fillId="3" borderId="5" xfId="1" applyFont="1" applyFill="1" applyBorder="1" applyAlignment="1">
      <alignment horizontal="center" vertical="center"/>
    </xf>
    <xf numFmtId="0" fontId="40" fillId="3" borderId="6" xfId="1" applyFont="1" applyFill="1" applyBorder="1" applyAlignment="1">
      <alignment horizontal="center" vertical="center"/>
    </xf>
    <xf numFmtId="0" fontId="40" fillId="3" borderId="8" xfId="1" applyFont="1" applyFill="1" applyBorder="1" applyAlignment="1">
      <alignment horizontal="center" vertical="center"/>
    </xf>
    <xf numFmtId="0" fontId="40" fillId="3" borderId="9" xfId="1" applyFont="1" applyFill="1" applyBorder="1" applyAlignment="1">
      <alignment horizontal="center" vertical="center"/>
    </xf>
    <xf numFmtId="0" fontId="40" fillId="3" borderId="10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49" fontId="4" fillId="2" borderId="4" xfId="1" applyNumberFormat="1" applyFont="1" applyFill="1" applyBorder="1" applyAlignment="1" applyProtection="1">
      <alignment horizontal="center" vertical="center"/>
      <protection locked="0"/>
    </xf>
    <xf numFmtId="49" fontId="4" fillId="2" borderId="5" xfId="1" applyNumberFormat="1" applyFont="1" applyFill="1" applyBorder="1" applyAlignment="1" applyProtection="1">
      <alignment horizontal="center" vertical="center"/>
      <protection locked="0"/>
    </xf>
    <xf numFmtId="49" fontId="4" fillId="2" borderId="6" xfId="1" applyNumberFormat="1" applyFont="1" applyFill="1" applyBorder="1" applyAlignment="1" applyProtection="1">
      <alignment horizontal="center" vertical="center"/>
      <protection locked="0"/>
    </xf>
    <xf numFmtId="0" fontId="4" fillId="2" borderId="4" xfId="1" applyFont="1" applyFill="1" applyBorder="1" applyAlignment="1" applyProtection="1">
      <alignment horizontal="center" vertical="center"/>
      <protection locked="0"/>
    </xf>
    <xf numFmtId="0" fontId="4" fillId="2" borderId="5" xfId="1" applyFont="1" applyFill="1" applyBorder="1" applyAlignment="1" applyProtection="1">
      <alignment horizontal="center" vertical="center"/>
      <protection locked="0"/>
    </xf>
    <xf numFmtId="0" fontId="4" fillId="2" borderId="6" xfId="1" applyFont="1" applyFill="1" applyBorder="1" applyAlignment="1" applyProtection="1">
      <alignment horizontal="center" vertical="center"/>
      <protection locked="0"/>
    </xf>
    <xf numFmtId="0" fontId="4" fillId="2" borderId="8" xfId="1" applyFont="1" applyFill="1" applyBorder="1" applyAlignment="1" applyProtection="1">
      <alignment horizontal="center" vertical="center"/>
      <protection locked="0"/>
    </xf>
    <xf numFmtId="0" fontId="4" fillId="2" borderId="9" xfId="1" applyFont="1" applyFill="1" applyBorder="1" applyAlignment="1" applyProtection="1">
      <alignment horizontal="center" vertical="center"/>
      <protection locked="0"/>
    </xf>
    <xf numFmtId="0" fontId="4" fillId="2" borderId="10" xfId="1" applyFont="1" applyFill="1" applyBorder="1" applyAlignment="1" applyProtection="1">
      <alignment horizontal="center" vertical="center"/>
      <protection locked="0"/>
    </xf>
    <xf numFmtId="0" fontId="4" fillId="2" borderId="13" xfId="1" applyFont="1" applyFill="1" applyBorder="1" applyAlignment="1" applyProtection="1">
      <alignment horizontal="center" vertical="center"/>
      <protection locked="0"/>
    </xf>
    <xf numFmtId="0" fontId="4" fillId="2" borderId="14" xfId="1" applyFont="1" applyFill="1" applyBorder="1" applyAlignment="1" applyProtection="1">
      <alignment horizontal="center" vertical="center"/>
      <protection locked="0"/>
    </xf>
    <xf numFmtId="14" fontId="4" fillId="2" borderId="7" xfId="1" applyNumberFormat="1" applyFont="1" applyFill="1" applyBorder="1" applyAlignment="1" applyProtection="1">
      <alignment horizontal="center" vertical="center"/>
      <protection locked="0"/>
    </xf>
    <xf numFmtId="0" fontId="4" fillId="2" borderId="7" xfId="1" applyFont="1" applyFill="1" applyBorder="1" applyAlignment="1" applyProtection="1">
      <alignment horizontal="center" vertical="center"/>
      <protection locked="0"/>
    </xf>
    <xf numFmtId="0" fontId="7" fillId="3" borderId="7" xfId="1" applyFont="1" applyFill="1" applyBorder="1" applyAlignment="1">
      <alignment horizontal="center" vertical="center"/>
    </xf>
    <xf numFmtId="0" fontId="2" fillId="0" borderId="7" xfId="1" applyFont="1" applyBorder="1" applyAlignment="1">
      <alignment horizontal="left" vertical="center"/>
    </xf>
    <xf numFmtId="0" fontId="5" fillId="0" borderId="1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11" fillId="3" borderId="4" xfId="1" applyFont="1" applyFill="1" applyBorder="1" applyAlignment="1">
      <alignment horizontal="center" vertical="center"/>
    </xf>
    <xf numFmtId="0" fontId="11" fillId="3" borderId="5" xfId="1" applyFont="1" applyFill="1" applyBorder="1" applyAlignment="1">
      <alignment horizontal="center" vertical="center"/>
    </xf>
    <xf numFmtId="0" fontId="11" fillId="3" borderId="6" xfId="1" applyFont="1" applyFill="1" applyBorder="1" applyAlignment="1">
      <alignment horizontal="center" vertical="center"/>
    </xf>
    <xf numFmtId="0" fontId="11" fillId="3" borderId="8" xfId="1" applyFont="1" applyFill="1" applyBorder="1" applyAlignment="1">
      <alignment horizontal="center" vertical="center"/>
    </xf>
    <xf numFmtId="0" fontId="11" fillId="3" borderId="9" xfId="1" applyFont="1" applyFill="1" applyBorder="1" applyAlignment="1">
      <alignment horizontal="center" vertical="center"/>
    </xf>
    <xf numFmtId="0" fontId="11" fillId="3" borderId="10" xfId="1" applyFont="1" applyFill="1" applyBorder="1" applyAlignment="1">
      <alignment horizontal="center" vertical="center"/>
    </xf>
    <xf numFmtId="0" fontId="9" fillId="0" borderId="7" xfId="1" applyFont="1" applyBorder="1" applyAlignment="1">
      <alignment horizontal="left" vertical="center"/>
    </xf>
    <xf numFmtId="0" fontId="9" fillId="2" borderId="7" xfId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/>
    </xf>
    <xf numFmtId="167" fontId="37" fillId="3" borderId="7" xfId="0" applyNumberFormat="1" applyFont="1" applyFill="1" applyBorder="1" applyAlignment="1">
      <alignment horizontal="center" vertical="center"/>
    </xf>
    <xf numFmtId="166" fontId="37" fillId="3" borderId="7" xfId="0" applyNumberFormat="1" applyFont="1" applyFill="1" applyBorder="1" applyAlignment="1">
      <alignment horizontal="center" vertical="center"/>
    </xf>
    <xf numFmtId="20" fontId="9" fillId="0" borderId="22" xfId="1" applyNumberFormat="1" applyFont="1" applyBorder="1" applyAlignment="1">
      <alignment horizontal="left" vertical="center"/>
    </xf>
    <xf numFmtId="20" fontId="9" fillId="0" borderId="24" xfId="1" applyNumberFormat="1" applyFont="1" applyBorder="1" applyAlignment="1">
      <alignment horizontal="left" vertical="center"/>
    </xf>
    <xf numFmtId="0" fontId="11" fillId="2" borderId="1" xfId="1" applyFont="1" applyFill="1" applyBorder="1" applyAlignment="1" applyProtection="1">
      <alignment horizontal="center" vertical="center"/>
      <protection locked="0"/>
    </xf>
    <xf numFmtId="0" fontId="11" fillId="2" borderId="2" xfId="1" applyFont="1" applyFill="1" applyBorder="1" applyAlignment="1" applyProtection="1">
      <alignment horizontal="center" vertical="center"/>
      <protection locked="0"/>
    </xf>
    <xf numFmtId="0" fontId="11" fillId="2" borderId="3" xfId="1" applyFont="1" applyFill="1" applyBorder="1" applyAlignment="1" applyProtection="1">
      <alignment horizontal="center" vertical="center"/>
      <protection locked="0"/>
    </xf>
    <xf numFmtId="3" fontId="11" fillId="3" borderId="3" xfId="1" applyNumberFormat="1" applyFont="1" applyFill="1" applyBorder="1" applyAlignment="1">
      <alignment horizontal="center" vertical="center"/>
    </xf>
    <xf numFmtId="3" fontId="11" fillId="3" borderId="7" xfId="1" applyNumberFormat="1" applyFont="1" applyFill="1" applyBorder="1" applyAlignment="1">
      <alignment horizontal="center" vertical="center"/>
    </xf>
    <xf numFmtId="0" fontId="11" fillId="0" borderId="7" xfId="1" applyFont="1" applyBorder="1" applyAlignment="1">
      <alignment horizontal="center" vertical="center"/>
    </xf>
    <xf numFmtId="164" fontId="11" fillId="2" borderId="7" xfId="1" applyNumberFormat="1" applyFont="1" applyFill="1" applyBorder="1" applyAlignment="1" applyProtection="1">
      <alignment horizontal="center" vertical="center"/>
      <protection locked="0"/>
    </xf>
    <xf numFmtId="0" fontId="14" fillId="0" borderId="7" xfId="1" applyFont="1" applyBorder="1" applyAlignment="1">
      <alignment horizontal="center" vertical="center"/>
    </xf>
    <xf numFmtId="0" fontId="24" fillId="0" borderId="1" xfId="1" applyFont="1" applyBorder="1" applyAlignment="1">
      <alignment horizontal="center" vertical="center" wrapText="1"/>
    </xf>
    <xf numFmtId="0" fontId="24" fillId="0" borderId="2" xfId="1" applyFont="1" applyBorder="1" applyAlignment="1">
      <alignment horizontal="center" vertical="center" wrapText="1"/>
    </xf>
    <xf numFmtId="0" fontId="24" fillId="0" borderId="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38" fillId="0" borderId="0" xfId="0" applyFont="1" applyAlignment="1">
      <alignment horizontal="center"/>
    </xf>
    <xf numFmtId="14" fontId="43" fillId="0" borderId="0" xfId="0" applyNumberFormat="1" applyFont="1" applyAlignment="1">
      <alignment horizontal="center" vertical="center"/>
    </xf>
    <xf numFmtId="0" fontId="46" fillId="0" borderId="46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47" xfId="0" applyFont="1" applyBorder="1" applyAlignment="1">
      <alignment horizontal="center" vertical="center"/>
    </xf>
    <xf numFmtId="0" fontId="46" fillId="0" borderId="41" xfId="0" applyFont="1" applyBorder="1" applyAlignment="1">
      <alignment horizontal="center" vertical="center"/>
    </xf>
    <xf numFmtId="0" fontId="46" fillId="0" borderId="42" xfId="0" applyFont="1" applyBorder="1" applyAlignment="1">
      <alignment horizontal="center" vertical="center"/>
    </xf>
    <xf numFmtId="0" fontId="46" fillId="0" borderId="43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8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9" xfId="0" applyBorder="1" applyAlignment="1">
      <alignment horizontal="center"/>
    </xf>
    <xf numFmtId="14" fontId="44" fillId="0" borderId="0" xfId="0" applyNumberFormat="1" applyFont="1" applyAlignment="1">
      <alignment horizontal="center" vertical="center"/>
    </xf>
    <xf numFmtId="0" fontId="45" fillId="0" borderId="0" xfId="0" applyFont="1" applyAlignment="1">
      <alignment horizontal="center"/>
    </xf>
  </cellXfs>
  <cellStyles count="6">
    <cellStyle name="Normal" xfId="0" builtinId="0"/>
    <cellStyle name="Normal 2 2 2" xfId="4" xr:uid="{00000000-0005-0000-0000-000001000000}"/>
    <cellStyle name="Normal 2 2 4" xfId="5" xr:uid="{00000000-0005-0000-0000-000002000000}"/>
    <cellStyle name="Normal 2 5" xfId="2" xr:uid="{00000000-0005-0000-0000-000003000000}"/>
    <cellStyle name="Normal 4 10" xfId="3" xr:uid="{00000000-0005-0000-0000-000004000000}"/>
    <cellStyle name="Normal 4 2" xfId="1" xr:uid="{00000000-0005-0000-0000-000005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AS$1" noThreeD="1"/>
</file>

<file path=xl/ctrlProps/ctrlProp2.xml><?xml version="1.0" encoding="utf-8"?>
<formControlPr xmlns="http://schemas.microsoft.com/office/spreadsheetml/2009/9/main" objectType="Radio" firstButton="1" fmlaLink="$G$49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85725</xdr:colOff>
      <xdr:row>1</xdr:row>
      <xdr:rowOff>161925</xdr:rowOff>
    </xdr:from>
    <xdr:ext cx="1261382" cy="4381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43150" y="342900"/>
          <a:ext cx="1261382" cy="438150"/>
        </a:xfrm>
        <a:prstGeom prst="rect">
          <a:avLst/>
        </a:prstGeom>
      </xdr:spPr>
    </xdr:pic>
    <xdr:clientData/>
  </xdr:oneCellAnchor>
  <xdr:twoCellAnchor editAs="oneCell">
    <xdr:from>
      <xdr:col>32</xdr:col>
      <xdr:colOff>190500</xdr:colOff>
      <xdr:row>3</xdr:row>
      <xdr:rowOff>66675</xdr:rowOff>
    </xdr:from>
    <xdr:to>
      <xdr:col>33</xdr:col>
      <xdr:colOff>66676</xdr:colOff>
      <xdr:row>5</xdr:row>
      <xdr:rowOff>9524</xdr:rowOff>
    </xdr:to>
    <xdr:pic macro="[0]!AdvancedCalendar">
      <xdr:nvPicPr>
        <xdr:cNvPr id="3" name="Picture 2" descr="Calendar Icon PNG Images, Vectors Free Download - Pngtre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91825" y="971550"/>
          <a:ext cx="419099" cy="41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8</xdr:row>
          <xdr:rowOff>209550</xdr:rowOff>
        </xdr:from>
        <xdr:to>
          <xdr:col>5</xdr:col>
          <xdr:colOff>552450</xdr:colOff>
          <xdr:row>9</xdr:row>
          <xdr:rowOff>238125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26</xdr:row>
          <xdr:rowOff>200025</xdr:rowOff>
        </xdr:from>
        <xdr:to>
          <xdr:col>7</xdr:col>
          <xdr:colOff>76200</xdr:colOff>
          <xdr:row>27</xdr:row>
          <xdr:rowOff>219075</xdr:rowOff>
        </xdr:to>
        <xdr:sp macro="" textlink="">
          <xdr:nvSpPr>
            <xdr:cNvPr id="2077" name="Option 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Máy mới AX300i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27</xdr:row>
          <xdr:rowOff>171450</xdr:rowOff>
        </xdr:from>
        <xdr:to>
          <xdr:col>7</xdr:col>
          <xdr:colOff>85725</xdr:colOff>
          <xdr:row>29</xdr:row>
          <xdr:rowOff>0</xdr:rowOff>
        </xdr:to>
        <xdr:sp macro="" textlink="">
          <xdr:nvSpPr>
            <xdr:cNvPr id="2078" name="Option 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Máy cũ A200</a:t>
              </a:r>
            </a:p>
          </xdr:txBody>
        </xdr:sp>
        <xdr:clientData/>
      </xdr:twoCellAnchor>
    </mc:Choice>
    <mc:Fallback/>
  </mc:AlternateContent>
  <xdr:twoCellAnchor editAs="oneCell">
    <xdr:from>
      <xdr:col>32</xdr:col>
      <xdr:colOff>392206</xdr:colOff>
      <xdr:row>0</xdr:row>
      <xdr:rowOff>141694</xdr:rowOff>
    </xdr:from>
    <xdr:to>
      <xdr:col>35</xdr:col>
      <xdr:colOff>224119</xdr:colOff>
      <xdr:row>3</xdr:row>
      <xdr:rowOff>27444</xdr:rowOff>
    </xdr:to>
    <xdr:pic macro="[0]!NhapdulieuSX_Update">
      <xdr:nvPicPr>
        <xdr:cNvPr id="13" name="Picture 12" descr="Input - Free networking icons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88588" y="141694"/>
          <a:ext cx="795618" cy="793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6569</xdr:colOff>
      <xdr:row>2</xdr:row>
      <xdr:rowOff>9525</xdr:rowOff>
    </xdr:from>
    <xdr:to>
      <xdr:col>6</xdr:col>
      <xdr:colOff>9525</xdr:colOff>
      <xdr:row>4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H="1">
          <a:off x="4361793" y="397094"/>
          <a:ext cx="2956" cy="378044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5443</xdr:colOff>
      <xdr:row>5</xdr:row>
      <xdr:rowOff>5443</xdr:rowOff>
    </xdr:from>
    <xdr:to>
      <xdr:col>6</xdr:col>
      <xdr:colOff>21771</xdr:colOff>
      <xdr:row>6</xdr:row>
      <xdr:rowOff>97971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2443843" y="990600"/>
          <a:ext cx="1932214" cy="293914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5</xdr:row>
      <xdr:rowOff>0</xdr:rowOff>
    </xdr:from>
    <xdr:to>
      <xdr:col>6</xdr:col>
      <xdr:colOff>10885</xdr:colOff>
      <xdr:row>6</xdr:row>
      <xdr:rowOff>171450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 flipH="1">
          <a:off x="4363811" y="985157"/>
          <a:ext cx="1360" cy="372836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16328</xdr:colOff>
      <xdr:row>5</xdr:row>
      <xdr:rowOff>0</xdr:rowOff>
    </xdr:from>
    <xdr:to>
      <xdr:col>7</xdr:col>
      <xdr:colOff>636814</xdr:colOff>
      <xdr:row>6</xdr:row>
      <xdr:rowOff>97971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4370614" y="985157"/>
          <a:ext cx="2013857" cy="299357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6569</xdr:colOff>
      <xdr:row>8</xdr:row>
      <xdr:rowOff>0</xdr:rowOff>
    </xdr:from>
    <xdr:to>
      <xdr:col>6</xdr:col>
      <xdr:colOff>7929</xdr:colOff>
      <xdr:row>10</xdr:row>
      <xdr:rowOff>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 flipH="1">
          <a:off x="4361793" y="1563414"/>
          <a:ext cx="1360" cy="387569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1360</xdr:colOff>
      <xdr:row>14</xdr:row>
      <xdr:rowOff>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 flipH="1">
          <a:off x="4355224" y="2338552"/>
          <a:ext cx="1360" cy="387569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6569</xdr:colOff>
      <xdr:row>16</xdr:row>
      <xdr:rowOff>0</xdr:rowOff>
    </xdr:from>
    <xdr:to>
      <xdr:col>6</xdr:col>
      <xdr:colOff>7929</xdr:colOff>
      <xdr:row>18</xdr:row>
      <xdr:rowOff>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 flipH="1">
          <a:off x="4361793" y="3113690"/>
          <a:ext cx="1360" cy="387569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63.0.16\smcmfg-working\yt\&#21407;&#32025;\&#24037;&#31243;&#33021;&#21147;\&#24037;&#31243;&#33021;&#21147;Cpk&#65288;&#65400;&#65438;&#65431;&#65420;&#6528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63.0.3\SMC%20Mfg%20VN\shigoto\tai%20lieu%20lap%20rap%20SY\bao%20cao%20thang\SY&#32068;&#31435;&#26376;&#22577;&#65303;&#26376;&#24230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enka-server2\kikaku\&#28023;&#22806;&#23376;&#20250;&#31038;\SMC-VN&#24037;&#22580;\VN&#25903;&#32102;&#20385;&#26684;\&#25903;&#32102;&#36023;&#21462;&#20385;&#26684;&#28310;&#20633;_&#12488;&#12521;&#12452;&#12450;&#12523;\&#12505;&#12488;&#12490;&#12512;&#31227;&#31649;&#23550;&#35937;&#27231;&#31278;BOM+BIN&#35373;&#23450;&#65288;&#12487;&#12540;&#12479;&#36865;&#20184;&#29992;1201&#65289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68.85\kikaku\Users\Genka01-user\Downloads\EXCEL_GIA_THANH_SAN_XUAT_HAY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63.0.3\SMC%20Mfg%20VN\Users\Genka01-user\Desktop\&#21407;&#20385;&#35336;&#31639;&#12471;&#12473;&#12486;&#12512;&#65288;&#26696;&#65289;Ver1.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16.2.13\Customer-Service\CS\Shipping%20Label\Serial%20No\SerialNoList_17-May-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</sheetNames>
    <sheetDataSet>
      <sheetData sheetId="0">
        <row r="9">
          <cell r="W9">
            <v>1</v>
          </cell>
        </row>
        <row r="10">
          <cell r="W10">
            <v>2</v>
          </cell>
        </row>
        <row r="11">
          <cell r="W11">
            <v>3</v>
          </cell>
        </row>
        <row r="12">
          <cell r="W12">
            <v>4</v>
          </cell>
        </row>
        <row r="13">
          <cell r="W13">
            <v>5</v>
          </cell>
        </row>
        <row r="14">
          <cell r="W14">
            <v>6</v>
          </cell>
        </row>
        <row r="15">
          <cell r="W15">
            <v>7</v>
          </cell>
        </row>
        <row r="16">
          <cell r="W16">
            <v>8</v>
          </cell>
        </row>
        <row r="17">
          <cell r="W17">
            <v>9</v>
          </cell>
        </row>
        <row r="18">
          <cell r="W18">
            <v>10</v>
          </cell>
        </row>
        <row r="19">
          <cell r="W19">
            <v>11</v>
          </cell>
        </row>
        <row r="20">
          <cell r="W20">
            <v>12</v>
          </cell>
        </row>
        <row r="21">
          <cell r="W21">
            <v>13</v>
          </cell>
        </row>
        <row r="22">
          <cell r="W22">
            <v>14</v>
          </cell>
        </row>
        <row r="23">
          <cell r="W23">
            <v>15</v>
          </cell>
        </row>
        <row r="24">
          <cell r="W24">
            <v>16</v>
          </cell>
        </row>
        <row r="25">
          <cell r="W25">
            <v>17</v>
          </cell>
        </row>
        <row r="26">
          <cell r="W26">
            <v>18</v>
          </cell>
        </row>
        <row r="27">
          <cell r="W27">
            <v>19</v>
          </cell>
        </row>
        <row r="28">
          <cell r="W28">
            <v>20</v>
          </cell>
        </row>
        <row r="29">
          <cell r="W29">
            <v>21</v>
          </cell>
        </row>
        <row r="30">
          <cell r="W30">
            <v>22</v>
          </cell>
        </row>
        <row r="31">
          <cell r="W31">
            <v>23</v>
          </cell>
        </row>
        <row r="32">
          <cell r="W32">
            <v>24</v>
          </cell>
        </row>
        <row r="33">
          <cell r="W33">
            <v>25</v>
          </cell>
        </row>
        <row r="34">
          <cell r="W34">
            <v>26</v>
          </cell>
        </row>
        <row r="35">
          <cell r="W35">
            <v>27</v>
          </cell>
        </row>
        <row r="36">
          <cell r="W36">
            <v>28</v>
          </cell>
        </row>
        <row r="37">
          <cell r="W37">
            <v>29</v>
          </cell>
        </row>
        <row r="38">
          <cell r="W38">
            <v>30</v>
          </cell>
        </row>
        <row r="39">
          <cell r="W39">
            <v>31</v>
          </cell>
        </row>
        <row r="40">
          <cell r="W40">
            <v>32</v>
          </cell>
        </row>
        <row r="41">
          <cell r="W41">
            <v>33</v>
          </cell>
        </row>
        <row r="42">
          <cell r="W42">
            <v>34</v>
          </cell>
        </row>
        <row r="43">
          <cell r="W43">
            <v>35</v>
          </cell>
        </row>
        <row r="44">
          <cell r="W44">
            <v>36</v>
          </cell>
        </row>
        <row r="45">
          <cell r="W45">
            <v>37</v>
          </cell>
        </row>
        <row r="46">
          <cell r="W46">
            <v>38</v>
          </cell>
        </row>
        <row r="47">
          <cell r="W47">
            <v>39</v>
          </cell>
        </row>
        <row r="48">
          <cell r="W48">
            <v>40</v>
          </cell>
        </row>
        <row r="49">
          <cell r="W49">
            <v>41</v>
          </cell>
        </row>
        <row r="50">
          <cell r="W50">
            <v>42</v>
          </cell>
        </row>
        <row r="51">
          <cell r="W51">
            <v>43</v>
          </cell>
        </row>
        <row r="52">
          <cell r="W52">
            <v>44</v>
          </cell>
        </row>
        <row r="53">
          <cell r="W53">
            <v>45</v>
          </cell>
        </row>
        <row r="54">
          <cell r="W54">
            <v>46</v>
          </cell>
        </row>
        <row r="55">
          <cell r="W55">
            <v>47</v>
          </cell>
        </row>
        <row r="56">
          <cell r="W56">
            <v>48</v>
          </cell>
        </row>
        <row r="57">
          <cell r="W57">
            <v>49</v>
          </cell>
        </row>
        <row r="58">
          <cell r="W58">
            <v>50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Y3000計画＆実績"/>
      <sheetName val="SY5000計画＆実績"/>
      <sheetName val="SY7000計画＆実績"/>
      <sheetName val="纏め"/>
      <sheetName val="SY不良"/>
      <sheetName val="入庫状態"/>
      <sheetName val="稼働率"/>
      <sheetName val="現場"/>
      <sheetName val="参考"/>
      <sheetName val="8月スケジュール"/>
      <sheetName val="10月スケジュール"/>
      <sheetName val="生産計画(2019年10月)"/>
      <sheetName val="工数"/>
      <sheetName val="Picking"/>
      <sheetName val="実績記入用紙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支給部品"/>
      <sheetName val="確認用"/>
      <sheetName val="対象品番（304）"/>
      <sheetName val="展開品番"/>
      <sheetName val="ボディAssy単価付"/>
      <sheetName val="アダプタ エンド部品構成単価付け"/>
      <sheetName val="スプール弁部品展開単価付"/>
      <sheetName val="ﾊﾟｲﾛｯﾄ弁Assy部品展開単価付"/>
      <sheetName val="明細"/>
      <sheetName val="進捗状況報告"/>
      <sheetName val="工数参照"/>
      <sheetName val="説明"/>
    </sheetNames>
    <sheetDataSet>
      <sheetData sheetId="0"/>
      <sheetData sheetId="1">
        <row r="2">
          <cell r="B2" t="str">
            <v>AC00074</v>
          </cell>
        </row>
      </sheetData>
      <sheetData sheetId="2"/>
      <sheetData sheetId="3">
        <row r="1">
          <cell r="A1" t="str">
            <v>品番</v>
          </cell>
        </row>
      </sheetData>
      <sheetData sheetId="4">
        <row r="2">
          <cell r="B2" t="str">
            <v>SY3000-1-34</v>
          </cell>
          <cell r="C2">
            <v>20171213</v>
          </cell>
          <cell r="D2" t="str">
            <v>1鋳造</v>
          </cell>
          <cell r="E2" t="str">
            <v>SY3000直管ﾎﾞﾃﾞｨ (ﾄﾗﾆｵﾝ用)</v>
          </cell>
          <cell r="F2" t="str">
            <v>SY3000-1-34D=1</v>
          </cell>
          <cell r="G2">
            <v>267720</v>
          </cell>
          <cell r="H2">
            <v>22.74</v>
          </cell>
        </row>
        <row r="3">
          <cell r="B3" t="str">
            <v>SY3000-1-34</v>
          </cell>
          <cell r="C3">
            <v>20171215</v>
          </cell>
          <cell r="D3" t="str">
            <v>2加工</v>
          </cell>
          <cell r="E3" t="str">
            <v>SY3000直管ﾎﾞﾃﾞｨ (ﾄﾗﾆｵﾝ用)</v>
          </cell>
          <cell r="F3" t="str">
            <v>SY3000-1-34D=2</v>
          </cell>
          <cell r="G3">
            <v>243108</v>
          </cell>
          <cell r="H3">
            <v>0.76</v>
          </cell>
        </row>
        <row r="4">
          <cell r="B4" t="str">
            <v>SY3000-1-34</v>
          </cell>
          <cell r="C4">
            <v>20171213</v>
          </cell>
          <cell r="D4" t="str">
            <v>2加工</v>
          </cell>
          <cell r="E4" t="str">
            <v>SYﾘﾌﾚｯｼｭﾎﾞﾃﾞｨ</v>
          </cell>
          <cell r="F4" t="str">
            <v>SY3000-1-34=2</v>
          </cell>
          <cell r="G4">
            <v>126582</v>
          </cell>
          <cell r="H4">
            <v>34.869999999999997</v>
          </cell>
        </row>
        <row r="5">
          <cell r="B5" t="str">
            <v>SY3000-1-34</v>
          </cell>
          <cell r="C5">
            <v>20171213</v>
          </cell>
          <cell r="D5" t="str">
            <v>2加工</v>
          </cell>
          <cell r="E5" t="str">
            <v>SYﾘﾌﾚｯｼｭﾎﾞﾃﾞｨ</v>
          </cell>
          <cell r="F5" t="str">
            <v>SY3000-1-34=4</v>
          </cell>
          <cell r="G5">
            <v>79117</v>
          </cell>
          <cell r="H5">
            <v>15.14</v>
          </cell>
        </row>
        <row r="6">
          <cell r="B6" t="str">
            <v>SY3000-1-34</v>
          </cell>
          <cell r="C6">
            <v>20171213</v>
          </cell>
          <cell r="D6" t="str">
            <v>3処理</v>
          </cell>
          <cell r="E6" t="str">
            <v>SY3000ﾎﾞﾃﾞｨ</v>
          </cell>
          <cell r="F6" t="str">
            <v>SY3000-1-34=3</v>
          </cell>
          <cell r="G6">
            <v>60107</v>
          </cell>
          <cell r="H6">
            <v>12.36</v>
          </cell>
        </row>
        <row r="7">
          <cell r="B7" t="str">
            <v>SY3000-1-35</v>
          </cell>
          <cell r="C7">
            <v>20171213</v>
          </cell>
          <cell r="D7" t="str">
            <v>1鋳造</v>
          </cell>
          <cell r="E7" t="str">
            <v>SY3000ﾍﾞｰｽ配管ﾎﾞﾃﾞｨ</v>
          </cell>
          <cell r="F7" t="str">
            <v>SY3000-1-35D=1</v>
          </cell>
          <cell r="G7">
            <v>175000</v>
          </cell>
          <cell r="H7">
            <v>22.4</v>
          </cell>
        </row>
        <row r="8">
          <cell r="B8" t="str">
            <v>SY3000-1-35</v>
          </cell>
          <cell r="C8">
            <v>20171215</v>
          </cell>
          <cell r="D8" t="str">
            <v>2加工</v>
          </cell>
          <cell r="E8" t="str">
            <v>SY3000直管ﾎﾞﾃﾞｨ (ﾄﾗﾆｵﾝ用)</v>
          </cell>
          <cell r="F8" t="str">
            <v>SY3000-1-35D=2</v>
          </cell>
          <cell r="G8">
            <v>58833</v>
          </cell>
          <cell r="H8">
            <v>0.74</v>
          </cell>
        </row>
        <row r="9">
          <cell r="B9" t="str">
            <v>SY3000-1-35</v>
          </cell>
          <cell r="C9">
            <v>20171213</v>
          </cell>
          <cell r="D9" t="str">
            <v>2加工</v>
          </cell>
          <cell r="E9" t="str">
            <v>SYﾘﾌﾚｯｼｭﾎﾞﾃﾞｨ</v>
          </cell>
          <cell r="F9" t="str">
            <v>SY3000-1-35=2</v>
          </cell>
          <cell r="G9">
            <v>143250</v>
          </cell>
          <cell r="H9">
            <v>27.22</v>
          </cell>
        </row>
        <row r="10">
          <cell r="B10" t="str">
            <v>SY3000-1-35</v>
          </cell>
          <cell r="C10">
            <v>20171213</v>
          </cell>
          <cell r="D10" t="str">
            <v>2加工</v>
          </cell>
          <cell r="E10" t="str">
            <v>SYﾘﾌﾚｯｼｭﾎﾞﾃﾞｨ</v>
          </cell>
          <cell r="F10" t="str">
            <v>SY3000-1-35=4</v>
          </cell>
          <cell r="G10">
            <v>43224</v>
          </cell>
          <cell r="H10">
            <v>15.34</v>
          </cell>
        </row>
        <row r="11">
          <cell r="B11" t="str">
            <v>SY3000-1-35</v>
          </cell>
          <cell r="C11">
            <v>20171213</v>
          </cell>
          <cell r="D11" t="str">
            <v>3処理</v>
          </cell>
          <cell r="E11" t="str">
            <v>SY3000ﾎﾞﾃﾞｨ</v>
          </cell>
          <cell r="F11" t="str">
            <v>SY3000-1-35=3</v>
          </cell>
          <cell r="G11">
            <v>149904</v>
          </cell>
          <cell r="H11">
            <v>5.86</v>
          </cell>
        </row>
        <row r="12">
          <cell r="B12" t="str">
            <v>SY3000-1-36</v>
          </cell>
          <cell r="C12">
            <v>20171215</v>
          </cell>
          <cell r="D12" t="str">
            <v>1鋳造</v>
          </cell>
          <cell r="E12" t="str">
            <v>SY3000ﾎﾞﾃﾞｨ</v>
          </cell>
          <cell r="F12" t="str">
            <v>SY3000-1-36D=1</v>
          </cell>
          <cell r="G12">
            <v>30333</v>
          </cell>
          <cell r="H12">
            <v>23.69</v>
          </cell>
        </row>
        <row r="13">
          <cell r="B13" t="str">
            <v>SY3000-1-36</v>
          </cell>
          <cell r="C13">
            <v>20171222</v>
          </cell>
          <cell r="D13" t="str">
            <v>2加工</v>
          </cell>
          <cell r="E13" t="str">
            <v>SY3000ﾎﾞﾃﾞｨ</v>
          </cell>
          <cell r="F13" t="str">
            <v>SY3000-1-36=2</v>
          </cell>
          <cell r="G13">
            <v>19338</v>
          </cell>
          <cell r="H13">
            <v>46.91</v>
          </cell>
        </row>
        <row r="14">
          <cell r="B14" t="str">
            <v>SY3000-1-36</v>
          </cell>
          <cell r="C14">
            <v>20171222</v>
          </cell>
          <cell r="D14" t="str">
            <v>2加工</v>
          </cell>
          <cell r="E14" t="str">
            <v>SY3000ﾎﾞﾃﾞｨ</v>
          </cell>
          <cell r="F14" t="str">
            <v>SY3000-1-36=4</v>
          </cell>
          <cell r="G14">
            <v>23718</v>
          </cell>
          <cell r="H14">
            <v>14.91</v>
          </cell>
        </row>
        <row r="15">
          <cell r="B15" t="str">
            <v>SY3000-1-36</v>
          </cell>
          <cell r="C15">
            <v>20171221</v>
          </cell>
          <cell r="D15" t="str">
            <v>3処理</v>
          </cell>
          <cell r="E15" t="str">
            <v>SY3000ﾎﾞﾃﾞｨ</v>
          </cell>
          <cell r="F15" t="str">
            <v>SY3000-1-36=3</v>
          </cell>
          <cell r="G15">
            <v>25920</v>
          </cell>
          <cell r="H15">
            <v>5.81</v>
          </cell>
        </row>
        <row r="16">
          <cell r="B16" t="str">
            <v>SY5000-1-39</v>
          </cell>
          <cell r="C16">
            <v>20171213</v>
          </cell>
          <cell r="D16" t="str">
            <v>2加工</v>
          </cell>
          <cell r="E16" t="str">
            <v>SY5000ﾘﾌﾚｯｼｭﾎﾞﾃﾞｨ</v>
          </cell>
          <cell r="F16" t="str">
            <v>SY5000-1-39=2</v>
          </cell>
          <cell r="G16">
            <v>118450</v>
          </cell>
          <cell r="H16">
            <v>29.43</v>
          </cell>
        </row>
        <row r="17">
          <cell r="B17" t="str">
            <v>SY5000-1-39</v>
          </cell>
          <cell r="C17">
            <v>20171213</v>
          </cell>
          <cell r="D17" t="str">
            <v>2加工</v>
          </cell>
          <cell r="E17" t="str">
            <v>SY5000ﾘﾌﾚｯｼｭﾎﾞﾃﾞｨ</v>
          </cell>
          <cell r="F17" t="str">
            <v>SY5000-1-39=4</v>
          </cell>
          <cell r="G17">
            <v>84096</v>
          </cell>
          <cell r="H17">
            <v>14.58</v>
          </cell>
        </row>
        <row r="18">
          <cell r="B18" t="str">
            <v>SY5000-1-39</v>
          </cell>
          <cell r="C18">
            <v>20171213</v>
          </cell>
          <cell r="D18" t="str">
            <v>3処理</v>
          </cell>
          <cell r="E18" t="str">
            <v>SY5000ﾎﾞﾃﾞｨ</v>
          </cell>
          <cell r="F18" t="str">
            <v>SY5000-1-39=3</v>
          </cell>
          <cell r="G18">
            <v>101250</v>
          </cell>
          <cell r="H18">
            <v>14.79</v>
          </cell>
        </row>
        <row r="19">
          <cell r="B19" t="str">
            <v>SY5000-1-40</v>
          </cell>
          <cell r="C19">
            <v>20171213</v>
          </cell>
          <cell r="D19" t="str">
            <v>2加工</v>
          </cell>
          <cell r="E19" t="str">
            <v>SY5000ﾘﾌﾚｯｼｭﾎﾞﾃﾞｨ</v>
          </cell>
          <cell r="F19" t="str">
            <v>SY5000-1-40=2</v>
          </cell>
          <cell r="G19">
            <v>44201</v>
          </cell>
          <cell r="H19">
            <v>23.31</v>
          </cell>
        </row>
        <row r="20">
          <cell r="B20" t="str">
            <v>SY5000-1-40</v>
          </cell>
          <cell r="C20">
            <v>20171213</v>
          </cell>
          <cell r="D20" t="str">
            <v>2加工</v>
          </cell>
          <cell r="E20" t="str">
            <v>SY5000ﾘﾌﾚｯｼｭﾎﾞﾃﾞｨ</v>
          </cell>
          <cell r="F20" t="str">
            <v>SY5000-1-40=4</v>
          </cell>
          <cell r="G20">
            <v>40569</v>
          </cell>
          <cell r="H20">
            <v>15.46</v>
          </cell>
        </row>
        <row r="21">
          <cell r="B21" t="str">
            <v>SY5000-1-40</v>
          </cell>
          <cell r="C21">
            <v>20171213</v>
          </cell>
          <cell r="D21" t="str">
            <v>3処理</v>
          </cell>
          <cell r="E21" t="str">
            <v>SY5000ﾎﾞﾃﾞｨ</v>
          </cell>
          <cell r="F21" t="str">
            <v>SY5000-1-40=3</v>
          </cell>
          <cell r="G21">
            <v>81000</v>
          </cell>
          <cell r="H21">
            <v>7.29</v>
          </cell>
        </row>
        <row r="22">
          <cell r="B22" t="str">
            <v>SY5000-1-41</v>
          </cell>
          <cell r="C22">
            <v>20171215</v>
          </cell>
          <cell r="D22" t="str">
            <v>1鋳造</v>
          </cell>
          <cell r="E22" t="str">
            <v>SY5000ﾎﾞﾃﾞｨ</v>
          </cell>
          <cell r="F22" t="str">
            <v>SY5000-1-41D=1</v>
          </cell>
          <cell r="G22">
            <v>16167</v>
          </cell>
          <cell r="H22">
            <v>62.51</v>
          </cell>
        </row>
        <row r="23">
          <cell r="B23" t="str">
            <v>SY5000-1-41</v>
          </cell>
          <cell r="C23">
            <v>20171222</v>
          </cell>
          <cell r="D23" t="str">
            <v>2加工</v>
          </cell>
          <cell r="E23" t="str">
            <v>SY5000ﾎﾞﾃﾞｨ</v>
          </cell>
          <cell r="F23" t="str">
            <v>SY5000-1-41=2</v>
          </cell>
          <cell r="G23">
            <v>27330</v>
          </cell>
          <cell r="H23">
            <v>59.48</v>
          </cell>
        </row>
        <row r="24">
          <cell r="B24" t="str">
            <v>SY5000-1-41</v>
          </cell>
          <cell r="C24">
            <v>20171222</v>
          </cell>
          <cell r="D24" t="str">
            <v>2加工</v>
          </cell>
          <cell r="E24" t="str">
            <v>SY5000ﾎﾞﾃﾞｨ</v>
          </cell>
          <cell r="F24" t="str">
            <v>SY5000-1-41=4</v>
          </cell>
          <cell r="G24">
            <v>24548</v>
          </cell>
          <cell r="H24">
            <v>14.9</v>
          </cell>
        </row>
        <row r="25">
          <cell r="B25" t="str">
            <v>SY5000-1-41</v>
          </cell>
          <cell r="C25">
            <v>20171221</v>
          </cell>
          <cell r="D25" t="str">
            <v>3処理</v>
          </cell>
          <cell r="E25" t="str">
            <v>SY5000ﾎﾞﾃﾞｨ</v>
          </cell>
          <cell r="F25" t="str">
            <v>SY5000-1-41=3</v>
          </cell>
          <cell r="G25">
            <v>22500</v>
          </cell>
          <cell r="H25">
            <v>7.29</v>
          </cell>
        </row>
        <row r="26">
          <cell r="B26" t="str">
            <v>SY7000-1-29</v>
          </cell>
          <cell r="C26">
            <v>20171213</v>
          </cell>
          <cell r="D26" t="str">
            <v>2加工</v>
          </cell>
          <cell r="E26" t="str">
            <v>SY7000ﾘﾌﾚｯｼｭﾎﾞﾃﾞｨ</v>
          </cell>
          <cell r="F26" t="str">
            <v>SY7000-1-29=2</v>
          </cell>
          <cell r="G26">
            <v>151915</v>
          </cell>
          <cell r="H26">
            <v>35.659999999999997</v>
          </cell>
        </row>
        <row r="27">
          <cell r="B27" t="str">
            <v>SY7000-1-29</v>
          </cell>
          <cell r="C27">
            <v>20171213</v>
          </cell>
          <cell r="D27" t="str">
            <v>2加工</v>
          </cell>
          <cell r="E27" t="str">
            <v>SY7000ﾘﾌﾚｯｼｭﾎﾞﾃﾞｨ</v>
          </cell>
          <cell r="F27" t="str">
            <v>SY7000-1-29=4</v>
          </cell>
          <cell r="G27">
            <v>146933</v>
          </cell>
          <cell r="H27">
            <v>14.53</v>
          </cell>
        </row>
        <row r="28">
          <cell r="B28" t="str">
            <v>SY7000-1-29</v>
          </cell>
          <cell r="C28">
            <v>20171213</v>
          </cell>
          <cell r="D28" t="str">
            <v>3処理</v>
          </cell>
          <cell r="E28" t="str">
            <v>SY7000ﾎﾞﾃﾞｨ</v>
          </cell>
          <cell r="F28" t="str">
            <v>SY7000-1-29=3</v>
          </cell>
          <cell r="G28">
            <v>130000</v>
          </cell>
          <cell r="H28">
            <v>24.53</v>
          </cell>
        </row>
        <row r="29">
          <cell r="B29" t="str">
            <v>SY7000-1-30</v>
          </cell>
          <cell r="C29">
            <v>20171213</v>
          </cell>
          <cell r="D29" t="str">
            <v>2加工</v>
          </cell>
          <cell r="E29" t="str">
            <v>SY7000ﾘﾌﾚｯｼｭﾎﾞﾃﾞｨ</v>
          </cell>
          <cell r="F29" t="str">
            <v>SY7000-1-30=2</v>
          </cell>
          <cell r="G29">
            <v>33600</v>
          </cell>
          <cell r="H29">
            <v>31.09</v>
          </cell>
        </row>
        <row r="30">
          <cell r="B30" t="str">
            <v>SY7000-1-30</v>
          </cell>
          <cell r="C30">
            <v>20171213</v>
          </cell>
          <cell r="D30" t="str">
            <v>2加工</v>
          </cell>
          <cell r="E30" t="str">
            <v>SY7000ﾘﾌﾚｯｼｭﾎﾞﾃﾞｨ</v>
          </cell>
          <cell r="F30" t="str">
            <v>SY7000-1-30=4</v>
          </cell>
          <cell r="G30">
            <v>28953</v>
          </cell>
          <cell r="H30">
            <v>14.55</v>
          </cell>
        </row>
        <row r="31">
          <cell r="B31" t="str">
            <v>SY7000-1-30</v>
          </cell>
          <cell r="C31">
            <v>20171213</v>
          </cell>
          <cell r="D31" t="str">
            <v>3処理</v>
          </cell>
          <cell r="E31" t="str">
            <v>SY7000ﾎﾞﾃﾞｨ</v>
          </cell>
          <cell r="F31" t="str">
            <v>SY7000-1-30=3</v>
          </cell>
          <cell r="G31">
            <v>19200</v>
          </cell>
          <cell r="H31">
            <v>11.24</v>
          </cell>
        </row>
        <row r="32">
          <cell r="B32" t="str">
            <v>SY7000-1-31</v>
          </cell>
          <cell r="C32">
            <v>20171215</v>
          </cell>
          <cell r="D32" t="str">
            <v>1鋳造</v>
          </cell>
          <cell r="E32" t="str">
            <v>SY7000ﾎﾞﾃﾞｨ</v>
          </cell>
          <cell r="F32" t="str">
            <v>SY7000-1-31D=1</v>
          </cell>
          <cell r="G32">
            <v>2261</v>
          </cell>
          <cell r="H32">
            <v>65.44</v>
          </cell>
        </row>
        <row r="33">
          <cell r="B33" t="str">
            <v>SY7000-1-31</v>
          </cell>
          <cell r="C33">
            <v>20171222</v>
          </cell>
          <cell r="D33" t="str">
            <v>2加工</v>
          </cell>
          <cell r="E33" t="str">
            <v>SY7000ﾎﾞﾃﾞｨ</v>
          </cell>
          <cell r="F33" t="str">
            <v>SY7000-1-31=4</v>
          </cell>
          <cell r="G33">
            <v>5609</v>
          </cell>
          <cell r="H33">
            <v>15.07</v>
          </cell>
        </row>
        <row r="34">
          <cell r="B34" t="str">
            <v>SY7000-1-31</v>
          </cell>
          <cell r="C34">
            <v>20171222</v>
          </cell>
          <cell r="D34" t="str">
            <v>2加工</v>
          </cell>
          <cell r="E34" t="str">
            <v>SY7000ﾎﾞﾃﾞｨ</v>
          </cell>
          <cell r="F34" t="str">
            <v>SY7000-1-31=2</v>
          </cell>
          <cell r="G34">
            <v>19106</v>
          </cell>
          <cell r="H34">
            <v>84.3</v>
          </cell>
        </row>
        <row r="35">
          <cell r="B35" t="str">
            <v>SY7000-1-31</v>
          </cell>
          <cell r="C35">
            <v>20171221</v>
          </cell>
          <cell r="D35" t="str">
            <v>3処理</v>
          </cell>
          <cell r="E35" t="str">
            <v>SY7000ﾎﾞﾃﾞｨ</v>
          </cell>
          <cell r="F35" t="str">
            <v>SY7000-1-31=3</v>
          </cell>
          <cell r="G35">
            <v>9600</v>
          </cell>
          <cell r="H35">
            <v>11.18</v>
          </cell>
        </row>
        <row r="36">
          <cell r="B36" t="str">
            <v>SY5000-1-39</v>
          </cell>
          <cell r="F36" t="str">
            <v>SY5000-1-39D</v>
          </cell>
          <cell r="H36">
            <v>48.490000000000009</v>
          </cell>
        </row>
        <row r="37">
          <cell r="B37" t="str">
            <v>SY5000-1-40</v>
          </cell>
          <cell r="F37" t="str">
            <v>SY5000-1-40D</v>
          </cell>
          <cell r="H37">
            <v>48.68</v>
          </cell>
        </row>
        <row r="38">
          <cell r="B38" t="str">
            <v>SY7000-1-29</v>
          </cell>
          <cell r="F38" t="str">
            <v>SY7000-1-29D</v>
          </cell>
          <cell r="H38">
            <v>56.72</v>
          </cell>
        </row>
        <row r="39">
          <cell r="B39" t="str">
            <v>SY7000-1-30</v>
          </cell>
          <cell r="F39" t="str">
            <v>SY7000-1-30D</v>
          </cell>
          <cell r="H39">
            <v>55.4</v>
          </cell>
        </row>
      </sheetData>
      <sheetData sheetId="5"/>
      <sheetData sheetId="6"/>
      <sheetData sheetId="7">
        <row r="1">
          <cell r="A1" t="str">
            <v>製品品番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HUONGDAN"/>
      <sheetName val="CHUNGTU"/>
      <sheetName val="BCKHO"/>
      <sheetName val="BCGT"/>
      <sheetName val="TTDN"/>
      <sheetName val="VTSP"/>
      <sheetName val="DMSX"/>
      <sheetName val="LIST"/>
      <sheetName val="NHAPMUA"/>
      <sheetName val="XUATKHO"/>
      <sheetName val="NHAPKHO"/>
      <sheetName val="XUATKHAC"/>
      <sheetName val="HACHTOAN"/>
      <sheetName val="CPPB"/>
      <sheetName val="BCNKTP"/>
      <sheetName val="BCXKVT"/>
      <sheetName val="BCDMXK"/>
      <sheetName val="NXTNVL"/>
      <sheetName val="CPNVL"/>
      <sheetName val="GTSX"/>
      <sheetName val="THCT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A4" t="str">
            <v>MA_VTSP</v>
          </cell>
          <cell r="B4" t="str">
            <v>TEN_VTSP</v>
          </cell>
          <cell r="C4" t="str">
            <v>DVT</v>
          </cell>
          <cell r="D4" t="str">
            <v>LOAI</v>
          </cell>
          <cell r="E4" t="str">
            <v>TON_DAU</v>
          </cell>
          <cell r="F4" t="str">
            <v>DU_DAU</v>
          </cell>
          <cell r="G4" t="str">
            <v>GHI_CHU</v>
          </cell>
        </row>
        <row r="5">
          <cell r="A5" t="str">
            <v>VT001</v>
          </cell>
          <cell r="B5" t="str">
            <v>Vật tư 001</v>
          </cell>
          <cell r="C5" t="str">
            <v>Kg</v>
          </cell>
          <cell r="D5" t="str">
            <v>NVL</v>
          </cell>
          <cell r="E5">
            <v>30</v>
          </cell>
          <cell r="F5">
            <v>1500000</v>
          </cell>
        </row>
        <row r="6">
          <cell r="A6" t="str">
            <v>VT002</v>
          </cell>
          <cell r="B6" t="str">
            <v>Vật tư 002</v>
          </cell>
          <cell r="C6" t="str">
            <v>Kg</v>
          </cell>
          <cell r="D6" t="str">
            <v>NVL</v>
          </cell>
          <cell r="E6">
            <v>20</v>
          </cell>
          <cell r="F6">
            <v>500000</v>
          </cell>
        </row>
        <row r="7">
          <cell r="A7" t="str">
            <v>VT003</v>
          </cell>
          <cell r="B7" t="str">
            <v>Vật tư 003</v>
          </cell>
          <cell r="C7" t="str">
            <v>Kg</v>
          </cell>
          <cell r="D7" t="str">
            <v>NVL</v>
          </cell>
        </row>
        <row r="8">
          <cell r="A8" t="str">
            <v>VT004</v>
          </cell>
          <cell r="B8" t="str">
            <v>Vật tư 004</v>
          </cell>
          <cell r="C8" t="str">
            <v>Kg</v>
          </cell>
          <cell r="D8" t="str">
            <v>NVL</v>
          </cell>
          <cell r="E8">
            <v>40</v>
          </cell>
          <cell r="F8">
            <v>600000</v>
          </cell>
        </row>
        <row r="9">
          <cell r="A9" t="str">
            <v>VT005</v>
          </cell>
          <cell r="B9" t="str">
            <v>Vật tư 005</v>
          </cell>
          <cell r="C9" t="str">
            <v>Kg</v>
          </cell>
          <cell r="D9" t="str">
            <v>NVL</v>
          </cell>
          <cell r="E9">
            <v>10</v>
          </cell>
          <cell r="F9">
            <v>800000</v>
          </cell>
        </row>
        <row r="10">
          <cell r="A10" t="str">
            <v>VT006</v>
          </cell>
          <cell r="B10" t="str">
            <v>Vật tư 006</v>
          </cell>
          <cell r="C10" t="str">
            <v>Kg</v>
          </cell>
          <cell r="D10" t="str">
            <v>NVL</v>
          </cell>
          <cell r="E10">
            <v>10</v>
          </cell>
          <cell r="F10">
            <v>1200000</v>
          </cell>
        </row>
        <row r="11">
          <cell r="A11" t="str">
            <v>VT007</v>
          </cell>
          <cell r="B11" t="str">
            <v>Vật tư 007</v>
          </cell>
          <cell r="C11" t="str">
            <v>Kg</v>
          </cell>
          <cell r="D11" t="str">
            <v>NVL</v>
          </cell>
        </row>
        <row r="12">
          <cell r="A12" t="str">
            <v>VT008</v>
          </cell>
          <cell r="B12" t="str">
            <v>Vật tư 008</v>
          </cell>
          <cell r="C12" t="str">
            <v>Kg</v>
          </cell>
          <cell r="D12" t="str">
            <v>NVL</v>
          </cell>
        </row>
        <row r="13">
          <cell r="A13" t="str">
            <v>VT009</v>
          </cell>
          <cell r="B13" t="str">
            <v>Vật tư 009</v>
          </cell>
          <cell r="C13" t="str">
            <v>Kg</v>
          </cell>
          <cell r="D13" t="str">
            <v>NVL</v>
          </cell>
          <cell r="E13">
            <v>50</v>
          </cell>
          <cell r="F13">
            <v>25000000</v>
          </cell>
        </row>
        <row r="14">
          <cell r="A14" t="str">
            <v>VT010</v>
          </cell>
          <cell r="B14" t="str">
            <v>Vật tư 010</v>
          </cell>
          <cell r="C14" t="str">
            <v>Kg</v>
          </cell>
          <cell r="D14" t="str">
            <v>NVL</v>
          </cell>
          <cell r="E14">
            <v>70</v>
          </cell>
          <cell r="F14">
            <v>42000000</v>
          </cell>
        </row>
        <row r="15">
          <cell r="A15" t="str">
            <v>TP001</v>
          </cell>
          <cell r="B15" t="str">
            <v>Thành phẩm 001</v>
          </cell>
          <cell r="C15" t="str">
            <v>Chiếc</v>
          </cell>
          <cell r="D15" t="str">
            <v>TP</v>
          </cell>
        </row>
        <row r="16">
          <cell r="A16" t="str">
            <v>TP002</v>
          </cell>
          <cell r="B16" t="str">
            <v>Thành phẩm 002</v>
          </cell>
          <cell r="C16" t="str">
            <v>Chiếc</v>
          </cell>
          <cell r="D16" t="str">
            <v>TP</v>
          </cell>
        </row>
        <row r="17">
          <cell r="A17" t="str">
            <v>TP003</v>
          </cell>
          <cell r="B17" t="str">
            <v>Thành phẩm 003</v>
          </cell>
          <cell r="C17" t="str">
            <v>Chiếc</v>
          </cell>
          <cell r="D17" t="str">
            <v>TP</v>
          </cell>
        </row>
        <row r="18">
          <cell r="A18" t="str">
            <v>TP004</v>
          </cell>
          <cell r="B18" t="str">
            <v>Thành phẩm 004</v>
          </cell>
          <cell r="C18" t="str">
            <v>Chiếc</v>
          </cell>
          <cell r="D18" t="str">
            <v>TP</v>
          </cell>
        </row>
        <row r="19">
          <cell r="A19" t="str">
            <v>TP005</v>
          </cell>
          <cell r="B19" t="str">
            <v>Thành phẩm 005</v>
          </cell>
          <cell r="C19" t="str">
            <v>Chiếc</v>
          </cell>
          <cell r="D19" t="str">
            <v>TP</v>
          </cell>
        </row>
      </sheetData>
      <sheetData sheetId="7"/>
      <sheetData sheetId="8">
        <row r="3">
          <cell r="D3" t="e">
            <v>#NAME?</v>
          </cell>
          <cell r="E3" t="e">
            <v>#NAME?</v>
          </cell>
          <cell r="F3" t="e">
            <v>#NAME?</v>
          </cell>
          <cell r="L3" t="e">
            <v>#NAME?</v>
          </cell>
          <cell r="M3" t="e">
            <v>#NAME?</v>
          </cell>
          <cell r="N3" t="e">
            <v>#NAME?</v>
          </cell>
          <cell r="S3" t="e">
            <v>#NAME?</v>
          </cell>
          <cell r="T3" t="e">
            <v>#NAME?</v>
          </cell>
        </row>
        <row r="4">
          <cell r="D4" t="e">
            <v>#NAME?</v>
          </cell>
          <cell r="E4" t="e">
            <v>#NAME?</v>
          </cell>
          <cell r="F4" t="e">
            <v>#NAME?</v>
          </cell>
          <cell r="L4" t="e">
            <v>#NAME?</v>
          </cell>
          <cell r="M4" t="e">
            <v>#NAME?</v>
          </cell>
          <cell r="N4" t="e">
            <v>#NAME?</v>
          </cell>
          <cell r="S4" t="e">
            <v>#NAME?</v>
          </cell>
          <cell r="T4" t="e">
            <v>#NAME?</v>
          </cell>
        </row>
        <row r="5">
          <cell r="D5" t="e">
            <v>#NAME?</v>
          </cell>
          <cell r="E5" t="e">
            <v>#NAME?</v>
          </cell>
          <cell r="F5" t="e">
            <v>#NAME?</v>
          </cell>
          <cell r="L5" t="e">
            <v>#NAME?</v>
          </cell>
          <cell r="M5" t="e">
            <v>#NAME?</v>
          </cell>
          <cell r="N5" t="e">
            <v>#NAME?</v>
          </cell>
          <cell r="S5" t="e">
            <v>#NAME?</v>
          </cell>
          <cell r="T5" t="e">
            <v>#NAME?</v>
          </cell>
        </row>
        <row r="6">
          <cell r="D6" t="e">
            <v>#NAME?</v>
          </cell>
          <cell r="E6" t="e">
            <v>#NAME?</v>
          </cell>
          <cell r="F6" t="e">
            <v>#NAME?</v>
          </cell>
          <cell r="L6" t="e">
            <v>#NAME?</v>
          </cell>
          <cell r="M6" t="e">
            <v>#NAME?</v>
          </cell>
          <cell r="N6" t="e">
            <v>#NAME?</v>
          </cell>
        </row>
        <row r="7">
          <cell r="D7" t="e">
            <v>#NAME?</v>
          </cell>
          <cell r="E7" t="e">
            <v>#NAME?</v>
          </cell>
          <cell r="F7" t="e">
            <v>#NAME?</v>
          </cell>
          <cell r="L7" t="e">
            <v>#NAME?</v>
          </cell>
          <cell r="M7" t="e">
            <v>#NAME?</v>
          </cell>
          <cell r="N7" t="e">
            <v>#NAME?</v>
          </cell>
        </row>
        <row r="8">
          <cell r="D8" t="e">
            <v>#NAME?</v>
          </cell>
          <cell r="E8" t="e">
            <v>#NAME?</v>
          </cell>
          <cell r="F8" t="e">
            <v>#NAME?</v>
          </cell>
          <cell r="L8" t="e">
            <v>#NAME?</v>
          </cell>
          <cell r="M8" t="e">
            <v>#NAME?</v>
          </cell>
          <cell r="N8" t="e">
            <v>#NAME?</v>
          </cell>
        </row>
        <row r="9">
          <cell r="D9" t="e">
            <v>#NAME?</v>
          </cell>
          <cell r="E9" t="e">
            <v>#NAME?</v>
          </cell>
          <cell r="F9" t="e">
            <v>#NAME?</v>
          </cell>
        </row>
        <row r="10">
          <cell r="D10" t="e">
            <v>#NAME?</v>
          </cell>
          <cell r="E10" t="e">
            <v>#NAME?</v>
          </cell>
          <cell r="F10" t="e">
            <v>#NAME?</v>
          </cell>
        </row>
        <row r="11">
          <cell r="D11" t="e">
            <v>#NAME?</v>
          </cell>
          <cell r="E11" t="e">
            <v>#NAME?</v>
          </cell>
          <cell r="F11" t="e">
            <v>#NAME?</v>
          </cell>
        </row>
        <row r="12">
          <cell r="D12" t="e">
            <v>#NAME?</v>
          </cell>
          <cell r="E12" t="e">
            <v>#NAME?</v>
          </cell>
          <cell r="F12" t="e">
            <v>#NAME?</v>
          </cell>
        </row>
        <row r="13">
          <cell r="D13" t="e">
            <v>#NAME?</v>
          </cell>
          <cell r="E13" t="e">
            <v>#NAME?</v>
          </cell>
          <cell r="F13" t="e">
            <v>#NAME?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 Data"/>
      <sheetName val="Data"/>
      <sheetName val="勘定連絡図"/>
      <sheetName val="説明"/>
      <sheetName val="Sheet1"/>
      <sheetName val="原価報告_1806"/>
      <sheetName val="諸掛受入価格差異集計"/>
      <sheetName val="加工費差異金額集計表"/>
      <sheetName val="標準原価MS"/>
      <sheetName val="仕掛金額計算表"/>
      <sheetName val="生産管理データ_完成品・仕掛数"/>
      <sheetName val="原材料IOB_201806"/>
      <sheetName val="品番別出来高明細"/>
    </sheetNames>
    <sheetDataSet>
      <sheetData sheetId="0">
        <row r="1">
          <cell r="A1">
            <v>0</v>
          </cell>
        </row>
        <row r="2">
          <cell r="A2" t="str">
            <v>PROGRAM MENU SETTING DETAILS</v>
          </cell>
        </row>
        <row r="3">
          <cell r="A3">
            <v>0</v>
          </cell>
        </row>
        <row r="4">
          <cell r="A4" t="str">
            <v>ID</v>
          </cell>
        </row>
        <row r="5">
          <cell r="A5">
            <v>1</v>
          </cell>
        </row>
        <row r="6">
          <cell r="A6">
            <v>1001</v>
          </cell>
        </row>
        <row r="7">
          <cell r="A7">
            <v>1002</v>
          </cell>
        </row>
        <row r="8">
          <cell r="A8">
            <v>1003</v>
          </cell>
        </row>
        <row r="9">
          <cell r="A9">
            <v>1004</v>
          </cell>
        </row>
        <row r="10">
          <cell r="A10">
            <v>1005</v>
          </cell>
        </row>
        <row r="11">
          <cell r="A11">
            <v>1006</v>
          </cell>
        </row>
        <row r="12">
          <cell r="A12">
            <v>2</v>
          </cell>
        </row>
        <row r="13">
          <cell r="A13">
            <v>2001</v>
          </cell>
        </row>
        <row r="14">
          <cell r="A14">
            <v>2002</v>
          </cell>
        </row>
        <row r="15">
          <cell r="A15">
            <v>21</v>
          </cell>
        </row>
        <row r="16">
          <cell r="A16">
            <v>2003</v>
          </cell>
        </row>
        <row r="17">
          <cell r="A17">
            <v>211</v>
          </cell>
        </row>
        <row r="18">
          <cell r="A18">
            <v>2004</v>
          </cell>
        </row>
        <row r="19">
          <cell r="A19">
            <v>2005</v>
          </cell>
        </row>
        <row r="20">
          <cell r="A20">
            <v>2006</v>
          </cell>
        </row>
        <row r="21">
          <cell r="A21">
            <v>2007</v>
          </cell>
        </row>
        <row r="22">
          <cell r="A22">
            <v>2008</v>
          </cell>
        </row>
        <row r="23">
          <cell r="A23">
            <v>3</v>
          </cell>
        </row>
        <row r="24">
          <cell r="A24">
            <v>31</v>
          </cell>
        </row>
        <row r="25">
          <cell r="A25">
            <v>311</v>
          </cell>
        </row>
        <row r="26">
          <cell r="A26">
            <v>3001</v>
          </cell>
        </row>
        <row r="27">
          <cell r="A27">
            <v>3002</v>
          </cell>
        </row>
        <row r="28">
          <cell r="A28">
            <v>3003</v>
          </cell>
        </row>
        <row r="29">
          <cell r="A29">
            <v>3004</v>
          </cell>
        </row>
        <row r="30">
          <cell r="A30">
            <v>3005</v>
          </cell>
        </row>
        <row r="31">
          <cell r="A31">
            <v>3006</v>
          </cell>
        </row>
        <row r="32">
          <cell r="A32">
            <v>3007</v>
          </cell>
        </row>
        <row r="33">
          <cell r="A33">
            <v>3008</v>
          </cell>
        </row>
        <row r="34">
          <cell r="A34">
            <v>3009</v>
          </cell>
        </row>
        <row r="35">
          <cell r="A35">
            <v>4</v>
          </cell>
        </row>
        <row r="36">
          <cell r="A36">
            <v>4001</v>
          </cell>
        </row>
        <row r="37">
          <cell r="A37">
            <v>4001</v>
          </cell>
        </row>
        <row r="38">
          <cell r="A38">
            <v>4001</v>
          </cell>
        </row>
        <row r="39">
          <cell r="A39">
            <v>4001</v>
          </cell>
        </row>
        <row r="40">
          <cell r="A40">
            <v>4001</v>
          </cell>
        </row>
        <row r="41">
          <cell r="A41">
            <v>4001</v>
          </cell>
        </row>
        <row r="42">
          <cell r="A42">
            <v>4001</v>
          </cell>
        </row>
        <row r="43">
          <cell r="A43">
            <v>4001</v>
          </cell>
        </row>
        <row r="44">
          <cell r="A44">
            <v>4001</v>
          </cell>
        </row>
        <row r="45">
          <cell r="A45">
            <v>4001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一覧表"/>
      <sheetName val="Sheet1"/>
      <sheetName val="Sheet2"/>
      <sheetName val="BCX_NL"/>
    </sheetNames>
    <sheetDataSet>
      <sheetData sheetId="0" refreshError="1"/>
      <sheetData sheetId="1">
        <row r="1">
          <cell r="A1" t="str">
            <v>3/46SDSR41A-P</v>
          </cell>
        </row>
        <row r="2">
          <cell r="A2" t="str">
            <v>0014SDSR41A-P</v>
          </cell>
        </row>
        <row r="3">
          <cell r="A3" t="str">
            <v>0016SDSR41A-P</v>
          </cell>
        </row>
        <row r="4">
          <cell r="A4" t="str">
            <v>Y152SDSR41A-P</v>
          </cell>
        </row>
        <row r="5">
          <cell r="A5" t="str">
            <v>Y154SDSR41A-P</v>
          </cell>
        </row>
        <row r="6">
          <cell r="A6" t="str">
            <v>Y156SDSR41A-P</v>
          </cell>
        </row>
        <row r="7">
          <cell r="A7" t="str">
            <v>0022SDSR41A-P</v>
          </cell>
        </row>
        <row r="8">
          <cell r="A8" t="str">
            <v>0024SDSR41A-P</v>
          </cell>
        </row>
        <row r="9">
          <cell r="A9" t="str">
            <v>0026SDSR41A-P</v>
          </cell>
        </row>
        <row r="10">
          <cell r="A10" t="str">
            <v>0032SDSR41A-P</v>
          </cell>
        </row>
        <row r="11">
          <cell r="A11" t="str">
            <v>0034SDSR41A-P</v>
          </cell>
        </row>
        <row r="12">
          <cell r="A12" t="str">
            <v>0036SDSR41A-P</v>
          </cell>
        </row>
        <row r="13">
          <cell r="A13" t="str">
            <v>0052SDSR41A-P</v>
          </cell>
        </row>
        <row r="14">
          <cell r="A14" t="str">
            <v>0054SDSR41A-P</v>
          </cell>
        </row>
        <row r="15">
          <cell r="A15" t="str">
            <v>0056SDSR41A-P</v>
          </cell>
        </row>
        <row r="16">
          <cell r="A16" t="str">
            <v>Y752SDSR41A-P</v>
          </cell>
        </row>
        <row r="17">
          <cell r="A17" t="str">
            <v>Y754SDSR41A-P</v>
          </cell>
        </row>
        <row r="18">
          <cell r="A18" t="str">
            <v>Y756SDSR41A-P</v>
          </cell>
        </row>
        <row r="19">
          <cell r="A19" t="str">
            <v>0102SDSR41A-P</v>
          </cell>
        </row>
        <row r="20">
          <cell r="A20" t="str">
            <v>0104SDSR41A-P</v>
          </cell>
        </row>
        <row r="21">
          <cell r="A21" t="str">
            <v>0106SDSR41A-P</v>
          </cell>
        </row>
        <row r="22">
          <cell r="A22" t="str">
            <v>0152SDSR41A-P</v>
          </cell>
        </row>
        <row r="23">
          <cell r="A23" t="str">
            <v>0154SDSR41A-P</v>
          </cell>
        </row>
        <row r="24">
          <cell r="A24" t="str">
            <v>0156SDSR41A-P</v>
          </cell>
        </row>
        <row r="25">
          <cell r="A25" t="str">
            <v>0202SDSR41A-P</v>
          </cell>
        </row>
        <row r="26">
          <cell r="A26" t="str">
            <v>0204SDSR41A-P</v>
          </cell>
        </row>
        <row r="27">
          <cell r="A27" t="str">
            <v>0206SDSR41A-P</v>
          </cell>
        </row>
        <row r="28">
          <cell r="A28" t="str">
            <v>0252SDSR41B-P</v>
          </cell>
        </row>
        <row r="29">
          <cell r="A29" t="str">
            <v>0254SDSR41A-P</v>
          </cell>
        </row>
        <row r="30">
          <cell r="A30" t="str">
            <v>0256SDSR41A-P</v>
          </cell>
        </row>
        <row r="31">
          <cell r="A31" t="str">
            <v>0302SDSR41B-P</v>
          </cell>
        </row>
        <row r="32">
          <cell r="A32" t="str">
            <v>0304SDSR41A-P</v>
          </cell>
        </row>
        <row r="33">
          <cell r="A33" t="str">
            <v>0306SDSR41A-P</v>
          </cell>
        </row>
        <row r="34">
          <cell r="A34" t="str">
            <v>0402SDSR41B-P</v>
          </cell>
        </row>
        <row r="35">
          <cell r="A35" t="str">
            <v>0404SDSR41A-P</v>
          </cell>
        </row>
        <row r="36">
          <cell r="A36" t="str">
            <v>0406SDSR41A-P</v>
          </cell>
        </row>
        <row r="37">
          <cell r="A37" t="str">
            <v>0502SDSR41B-P</v>
          </cell>
        </row>
        <row r="38">
          <cell r="A38" t="str">
            <v>0504SDSR41A-P</v>
          </cell>
        </row>
        <row r="39">
          <cell r="A39" t="str">
            <v>0506SDSR41A-P</v>
          </cell>
        </row>
        <row r="40">
          <cell r="A40" t="str">
            <v>0602SDSR41B-P</v>
          </cell>
        </row>
        <row r="41">
          <cell r="A41" t="str">
            <v>0604SDSR41A-P</v>
          </cell>
        </row>
        <row r="42">
          <cell r="A42" t="str">
            <v>0752SDSR41B-P</v>
          </cell>
        </row>
        <row r="43">
          <cell r="A43" t="str">
            <v>0754SDSR41A-P</v>
          </cell>
        </row>
        <row r="44">
          <cell r="A44" t="str">
            <v>3/46SDSC41A-P</v>
          </cell>
        </row>
        <row r="45">
          <cell r="A45" t="str">
            <v>0014SDSC41A-P</v>
          </cell>
        </row>
        <row r="46">
          <cell r="A46" t="str">
            <v>0016SDSC41A-P</v>
          </cell>
        </row>
        <row r="47">
          <cell r="A47" t="str">
            <v>Y152SDSC41A-P</v>
          </cell>
        </row>
        <row r="48">
          <cell r="A48" t="str">
            <v>Y154SDSC41A-P</v>
          </cell>
        </row>
        <row r="49">
          <cell r="A49" t="str">
            <v>Y156SDSC41A-P</v>
          </cell>
        </row>
        <row r="50">
          <cell r="A50" t="str">
            <v>0022SDSC41A-P</v>
          </cell>
        </row>
        <row r="51">
          <cell r="A51" t="str">
            <v>0024SDSC41A-P</v>
          </cell>
        </row>
        <row r="52">
          <cell r="A52" t="str">
            <v>0026SDSC41A-P</v>
          </cell>
        </row>
        <row r="53">
          <cell r="A53" t="str">
            <v>0032SDSC41A-P</v>
          </cell>
        </row>
        <row r="54">
          <cell r="A54" t="str">
            <v>0034SDSC41A-P</v>
          </cell>
        </row>
        <row r="55">
          <cell r="A55" t="str">
            <v>0036SDSC41A-P</v>
          </cell>
        </row>
        <row r="56">
          <cell r="A56" t="str">
            <v>0052SDSC41A-P</v>
          </cell>
        </row>
        <row r="57">
          <cell r="A57" t="str">
            <v>0054SDSC41A-P</v>
          </cell>
        </row>
        <row r="58">
          <cell r="A58" t="str">
            <v>0056SDSC41A-P</v>
          </cell>
        </row>
        <row r="59">
          <cell r="A59" t="str">
            <v>Y752SDSC41A-P</v>
          </cell>
        </row>
        <row r="60">
          <cell r="A60" t="str">
            <v>Y754SDSC41A-P</v>
          </cell>
        </row>
        <row r="61">
          <cell r="A61" t="str">
            <v>Y756SDSC41A-P</v>
          </cell>
        </row>
        <row r="62">
          <cell r="A62" t="str">
            <v>0102SDSC41A-P</v>
          </cell>
        </row>
        <row r="63">
          <cell r="A63" t="str">
            <v>0104SDSC41A-P</v>
          </cell>
        </row>
        <row r="64">
          <cell r="A64" t="str">
            <v>0106SDSC41A-P</v>
          </cell>
        </row>
        <row r="65">
          <cell r="A65" t="str">
            <v>0152SDSC41A-P</v>
          </cell>
        </row>
        <row r="66">
          <cell r="A66" t="str">
            <v>0154SDSC41A-P</v>
          </cell>
        </row>
        <row r="67">
          <cell r="A67" t="str">
            <v>0156SDSC41A-P</v>
          </cell>
        </row>
        <row r="68">
          <cell r="A68" t="str">
            <v>0202SDSC41A-P</v>
          </cell>
        </row>
        <row r="69">
          <cell r="A69" t="str">
            <v>0204SDSC41A-P</v>
          </cell>
        </row>
        <row r="70">
          <cell r="A70" t="str">
            <v>0206SDSC41A-P</v>
          </cell>
        </row>
        <row r="71">
          <cell r="A71" t="str">
            <v>0252SDSC41B-P</v>
          </cell>
        </row>
        <row r="72">
          <cell r="A72" t="str">
            <v>0254SDSC41A-P</v>
          </cell>
        </row>
        <row r="73">
          <cell r="A73" t="str">
            <v>0256SDSC41A-P</v>
          </cell>
        </row>
        <row r="74">
          <cell r="A74" t="str">
            <v>0302SDSC41B-P</v>
          </cell>
        </row>
        <row r="75">
          <cell r="A75" t="str">
            <v>0304SDSC41A-P</v>
          </cell>
        </row>
        <row r="76">
          <cell r="A76" t="str">
            <v>0306SDSC41A-P</v>
          </cell>
        </row>
        <row r="77">
          <cell r="A77" t="str">
            <v>0402SDSC41B-P</v>
          </cell>
        </row>
        <row r="78">
          <cell r="A78" t="str">
            <v>0404SDSC41A-P</v>
          </cell>
        </row>
        <row r="79">
          <cell r="A79" t="str">
            <v>0406SDSC41A-P</v>
          </cell>
        </row>
        <row r="80">
          <cell r="A80" t="str">
            <v>0502SDSC41B-P</v>
          </cell>
        </row>
        <row r="81">
          <cell r="A81" t="str">
            <v>0504SDSC41A-P</v>
          </cell>
        </row>
        <row r="82">
          <cell r="A82" t="str">
            <v>0506SDSC41A-P</v>
          </cell>
        </row>
        <row r="83">
          <cell r="A83" t="str">
            <v>0602SDSC41B-P</v>
          </cell>
        </row>
        <row r="84">
          <cell r="A84" t="str">
            <v>0604SDSC41A-P</v>
          </cell>
        </row>
        <row r="85">
          <cell r="A85" t="str">
            <v>0752SDSC41B-P</v>
          </cell>
        </row>
        <row r="86">
          <cell r="A86" t="str">
            <v>0754SDSC41A-P</v>
          </cell>
        </row>
        <row r="87">
          <cell r="A87" t="str">
            <v>3/46XSSB41A-P</v>
          </cell>
        </row>
        <row r="88">
          <cell r="A88" t="str">
            <v>0014XSSB41A-P</v>
          </cell>
        </row>
        <row r="89">
          <cell r="A89" t="str">
            <v>0016XSSB41A-P</v>
          </cell>
        </row>
        <row r="90">
          <cell r="A90" t="str">
            <v>Y152XSSB41A-P</v>
          </cell>
        </row>
        <row r="91">
          <cell r="A91" t="str">
            <v>Y154XSSB41A-P</v>
          </cell>
        </row>
        <row r="92">
          <cell r="A92" t="str">
            <v>Y156XSSB41A-P</v>
          </cell>
        </row>
        <row r="93">
          <cell r="A93" t="str">
            <v>0022XSSB41A-P</v>
          </cell>
        </row>
        <row r="94">
          <cell r="A94" t="str">
            <v>0024XSSB41A-P</v>
          </cell>
        </row>
        <row r="95">
          <cell r="A95" t="str">
            <v>0026XSSB41A-P</v>
          </cell>
        </row>
        <row r="96">
          <cell r="A96" t="str">
            <v>0032XSSB41A-P</v>
          </cell>
        </row>
        <row r="97">
          <cell r="A97" t="str">
            <v>0034XSSB41A-P</v>
          </cell>
        </row>
        <row r="98">
          <cell r="A98" t="str">
            <v>0036XSSB41A-P</v>
          </cell>
        </row>
        <row r="99">
          <cell r="A99" t="str">
            <v>0052XSSB41A-P</v>
          </cell>
        </row>
        <row r="100">
          <cell r="A100" t="str">
            <v>0054XSSB41A-P</v>
          </cell>
        </row>
        <row r="101">
          <cell r="A101" t="str">
            <v>0056XSSB41A-P</v>
          </cell>
        </row>
        <row r="102">
          <cell r="A102" t="str">
            <v>Y752XSSB41A-P</v>
          </cell>
        </row>
        <row r="103">
          <cell r="A103" t="str">
            <v>Y754XSSB41A-P</v>
          </cell>
        </row>
        <row r="104">
          <cell r="A104" t="str">
            <v>Y756XSSB41A-P</v>
          </cell>
        </row>
        <row r="105">
          <cell r="A105" t="str">
            <v>0102XSSB41A-P</v>
          </cell>
        </row>
        <row r="106">
          <cell r="A106" t="str">
            <v>0104XSSB41A-P</v>
          </cell>
        </row>
        <row r="107">
          <cell r="A107" t="str">
            <v>0106XSSB41A-P</v>
          </cell>
        </row>
        <row r="108">
          <cell r="A108" t="str">
            <v>0152XSSB41A-P</v>
          </cell>
        </row>
        <row r="109">
          <cell r="A109" t="str">
            <v>0154XSSB41A-P</v>
          </cell>
        </row>
        <row r="110">
          <cell r="A110" t="str">
            <v>0156XSSB41A-P</v>
          </cell>
        </row>
        <row r="111">
          <cell r="A111" t="str">
            <v>0202XSSB41A-P</v>
          </cell>
        </row>
        <row r="112">
          <cell r="A112" t="str">
            <v>0204XSSB41A-P</v>
          </cell>
        </row>
        <row r="113">
          <cell r="A113" t="str">
            <v>0206XSSB41A-P</v>
          </cell>
        </row>
        <row r="114">
          <cell r="A114" t="str">
            <v>0252XSSB41B-P</v>
          </cell>
        </row>
        <row r="115">
          <cell r="A115" t="str">
            <v>0254XSSB41A-P</v>
          </cell>
        </row>
        <row r="116">
          <cell r="A116" t="str">
            <v>0256XSSB41A-P</v>
          </cell>
        </row>
        <row r="117">
          <cell r="A117" t="str">
            <v>0302XSSB41B-P</v>
          </cell>
        </row>
        <row r="118">
          <cell r="A118" t="str">
            <v>0304XSSB41A-P</v>
          </cell>
        </row>
        <row r="119">
          <cell r="A119" t="str">
            <v>0306XSSB41A-P</v>
          </cell>
        </row>
        <row r="120">
          <cell r="A120" t="str">
            <v>0402XSSB41B-P</v>
          </cell>
        </row>
        <row r="121">
          <cell r="A121" t="str">
            <v>0404XSSB41A-P</v>
          </cell>
        </row>
        <row r="122">
          <cell r="A122" t="str">
            <v>0406XSSB41A-P</v>
          </cell>
        </row>
        <row r="123">
          <cell r="A123" t="str">
            <v>0502XSSB41B-P</v>
          </cell>
        </row>
        <row r="124">
          <cell r="A124" t="str">
            <v>0504XSSB41A-P</v>
          </cell>
        </row>
        <row r="125">
          <cell r="A125" t="str">
            <v>0506XSSB41A-P</v>
          </cell>
        </row>
        <row r="126">
          <cell r="A126" t="str">
            <v>0602XSSB41B-P</v>
          </cell>
        </row>
        <row r="127">
          <cell r="A127" t="str">
            <v>0604XSSB41A-P</v>
          </cell>
        </row>
        <row r="128">
          <cell r="A128" t="str">
            <v>0752XSSB41B-P</v>
          </cell>
        </row>
        <row r="129">
          <cell r="A129" t="str">
            <v>0754XSSB41A-P</v>
          </cell>
        </row>
        <row r="130">
          <cell r="A130" t="str">
            <v>3/46XSSC41A-P</v>
          </cell>
        </row>
        <row r="131">
          <cell r="A131" t="str">
            <v>0014XSSC41A-P</v>
          </cell>
        </row>
        <row r="132">
          <cell r="A132" t="str">
            <v>0016XSSC41A-P</v>
          </cell>
        </row>
        <row r="133">
          <cell r="A133" t="str">
            <v>Y152XSSC41A-P</v>
          </cell>
        </row>
        <row r="134">
          <cell r="A134" t="str">
            <v>Y154XSSC41A-P</v>
          </cell>
        </row>
        <row r="135">
          <cell r="A135" t="str">
            <v>Y156XSSC41A-P</v>
          </cell>
        </row>
        <row r="136">
          <cell r="A136" t="str">
            <v>0022XSSC41A-P</v>
          </cell>
        </row>
        <row r="137">
          <cell r="A137" t="str">
            <v>0024XSSC41A-P</v>
          </cell>
        </row>
        <row r="138">
          <cell r="A138" t="str">
            <v>0026XSSC41A-P</v>
          </cell>
        </row>
        <row r="139">
          <cell r="A139" t="str">
            <v>0032XSSC41A-P</v>
          </cell>
        </row>
        <row r="140">
          <cell r="A140" t="str">
            <v>0034XSSC41A-P</v>
          </cell>
        </row>
        <row r="141">
          <cell r="A141" t="str">
            <v>0036XSSC41A-P</v>
          </cell>
        </row>
        <row r="142">
          <cell r="A142" t="str">
            <v>0052XSSC41A-P</v>
          </cell>
        </row>
        <row r="143">
          <cell r="A143" t="str">
            <v>0054XSSC41A-P</v>
          </cell>
        </row>
        <row r="144">
          <cell r="A144" t="str">
            <v>0056XSSC41A-P</v>
          </cell>
        </row>
        <row r="145">
          <cell r="A145" t="str">
            <v>Y752XSSC41A-P</v>
          </cell>
        </row>
        <row r="146">
          <cell r="A146" t="str">
            <v>Y754XSSC41A-P</v>
          </cell>
        </row>
        <row r="147">
          <cell r="A147" t="str">
            <v>Y756XSSC41A-P</v>
          </cell>
        </row>
        <row r="148">
          <cell r="A148" t="str">
            <v>0102XSSC41A-P</v>
          </cell>
        </row>
        <row r="149">
          <cell r="A149" t="str">
            <v>0104XSSC41A-P</v>
          </cell>
        </row>
        <row r="150">
          <cell r="A150" t="str">
            <v>0106XSSC41A-P</v>
          </cell>
        </row>
        <row r="151">
          <cell r="A151" t="str">
            <v>0152XSSC41A-P</v>
          </cell>
        </row>
        <row r="152">
          <cell r="A152" t="str">
            <v>0154XSSC41A-P</v>
          </cell>
        </row>
        <row r="153">
          <cell r="A153" t="str">
            <v>0156XSSC41A-P</v>
          </cell>
        </row>
        <row r="154">
          <cell r="A154" t="str">
            <v>0202XSSC41A-P</v>
          </cell>
        </row>
        <row r="155">
          <cell r="A155" t="str">
            <v>0204XSSC41A-P</v>
          </cell>
        </row>
        <row r="156">
          <cell r="A156" t="str">
            <v>0206XSSC41A-P</v>
          </cell>
        </row>
        <row r="157">
          <cell r="A157" t="str">
            <v>0252XSSC41B-P</v>
          </cell>
        </row>
        <row r="158">
          <cell r="A158" t="str">
            <v>0254XSSC41A-P</v>
          </cell>
        </row>
        <row r="159">
          <cell r="A159" t="str">
            <v>0256XSSC41A-P</v>
          </cell>
        </row>
        <row r="160">
          <cell r="A160" t="str">
            <v>0302XSSC41B-P</v>
          </cell>
        </row>
        <row r="161">
          <cell r="A161" t="str">
            <v>0304XSSC41A-P</v>
          </cell>
        </row>
        <row r="162">
          <cell r="A162" t="str">
            <v>0306XSSC41A-P</v>
          </cell>
        </row>
        <row r="163">
          <cell r="A163" t="str">
            <v>0402XSSC41B-P</v>
          </cell>
        </row>
        <row r="164">
          <cell r="A164" t="str">
            <v>0404XSSC41A-P</v>
          </cell>
        </row>
        <row r="165">
          <cell r="A165" t="str">
            <v>0406XSSC41A-P</v>
          </cell>
        </row>
        <row r="166">
          <cell r="A166" t="str">
            <v>0502XSSC41B-P</v>
          </cell>
        </row>
        <row r="167">
          <cell r="A167" t="str">
            <v>0504XSSC41A-P</v>
          </cell>
        </row>
        <row r="168">
          <cell r="A168" t="str">
            <v>0506XSSC41A-P</v>
          </cell>
        </row>
        <row r="169">
          <cell r="A169" t="str">
            <v>0602XSSC41B-P</v>
          </cell>
        </row>
        <row r="170">
          <cell r="A170" t="str">
            <v>0604XSSC41A-P</v>
          </cell>
        </row>
        <row r="171">
          <cell r="A171" t="str">
            <v>0752XSSC41B-P</v>
          </cell>
        </row>
        <row r="172">
          <cell r="A172" t="str">
            <v>0754XSSC41A-P</v>
          </cell>
        </row>
        <row r="173">
          <cell r="A173" t="str">
            <v>3/46XDSB41A-P</v>
          </cell>
        </row>
        <row r="174">
          <cell r="A174" t="str">
            <v>0014XDSB41A-P</v>
          </cell>
        </row>
        <row r="175">
          <cell r="A175" t="str">
            <v>0016XDSB41A-P</v>
          </cell>
        </row>
        <row r="176">
          <cell r="A176" t="str">
            <v>Y152XDSB41A-P</v>
          </cell>
        </row>
        <row r="177">
          <cell r="A177" t="str">
            <v>Y154XDSB41A-P</v>
          </cell>
        </row>
        <row r="178">
          <cell r="A178" t="str">
            <v>Y156XDSB41A-P</v>
          </cell>
        </row>
        <row r="179">
          <cell r="A179" t="str">
            <v>0022XDSB41A-P</v>
          </cell>
        </row>
        <row r="180">
          <cell r="A180" t="str">
            <v>0024XDSB41A-P</v>
          </cell>
        </row>
        <row r="181">
          <cell r="A181" t="str">
            <v>0026XDSB41A-P</v>
          </cell>
        </row>
        <row r="182">
          <cell r="A182" t="str">
            <v>0032XDSB41A-P</v>
          </cell>
        </row>
        <row r="183">
          <cell r="A183" t="str">
            <v>0034XDSB41A-P</v>
          </cell>
        </row>
        <row r="184">
          <cell r="A184" t="str">
            <v>0036XDSB41A-P</v>
          </cell>
        </row>
        <row r="185">
          <cell r="A185" t="str">
            <v>0052XDSB41A-P</v>
          </cell>
        </row>
        <row r="186">
          <cell r="A186" t="str">
            <v>0054XDSB41A-P</v>
          </cell>
        </row>
        <row r="187">
          <cell r="A187" t="str">
            <v>0056XDSB41A-P</v>
          </cell>
        </row>
        <row r="188">
          <cell r="A188" t="str">
            <v>Y752XDSB41A-P</v>
          </cell>
        </row>
        <row r="189">
          <cell r="A189" t="str">
            <v>Y754XDSB41A-P</v>
          </cell>
        </row>
        <row r="190">
          <cell r="A190" t="str">
            <v>Y756XDSB41A-P</v>
          </cell>
        </row>
        <row r="191">
          <cell r="A191" t="str">
            <v>0102XDSB41A-P</v>
          </cell>
        </row>
        <row r="192">
          <cell r="A192" t="str">
            <v>0104XDSB41A-P</v>
          </cell>
        </row>
        <row r="193">
          <cell r="A193" t="str">
            <v>0106XDSB41A-P</v>
          </cell>
        </row>
        <row r="194">
          <cell r="A194" t="str">
            <v>0152XDSB41A-P</v>
          </cell>
        </row>
        <row r="195">
          <cell r="A195" t="str">
            <v>0154XDSB41A-P</v>
          </cell>
        </row>
        <row r="196">
          <cell r="A196" t="str">
            <v>0156XDSB41A-P</v>
          </cell>
        </row>
        <row r="197">
          <cell r="A197" t="str">
            <v>0202XDSB41A-P</v>
          </cell>
        </row>
        <row r="198">
          <cell r="A198" t="str">
            <v>0204XDSB41A-P</v>
          </cell>
        </row>
        <row r="199">
          <cell r="A199" t="str">
            <v>0206XDSB41A-P</v>
          </cell>
        </row>
        <row r="200">
          <cell r="A200" t="str">
            <v>0252XDSB41B-P</v>
          </cell>
        </row>
        <row r="201">
          <cell r="A201" t="str">
            <v>0254XDSB41A-P</v>
          </cell>
        </row>
        <row r="202">
          <cell r="A202" t="str">
            <v>0256XDSB41A-P</v>
          </cell>
        </row>
        <row r="203">
          <cell r="A203" t="str">
            <v>0302XDSB41B-P</v>
          </cell>
        </row>
        <row r="204">
          <cell r="A204" t="str">
            <v>0304XDSB41A-P</v>
          </cell>
        </row>
        <row r="205">
          <cell r="A205" t="str">
            <v>0306XDSB41A-P</v>
          </cell>
        </row>
        <row r="206">
          <cell r="A206" t="str">
            <v>0402XDSB41B-P</v>
          </cell>
        </row>
        <row r="207">
          <cell r="A207" t="str">
            <v>0404XDSB41A-P</v>
          </cell>
        </row>
        <row r="208">
          <cell r="A208" t="str">
            <v>0406XDSB41A-P</v>
          </cell>
        </row>
        <row r="209">
          <cell r="A209" t="str">
            <v>0502XDSB41B-P</v>
          </cell>
        </row>
        <row r="210">
          <cell r="A210" t="str">
            <v>0504XDSB41A-P</v>
          </cell>
        </row>
        <row r="211">
          <cell r="A211" t="str">
            <v>0506XDSB41A-P</v>
          </cell>
        </row>
        <row r="212">
          <cell r="A212" t="str">
            <v>0602XDSB41B-P</v>
          </cell>
        </row>
        <row r="213">
          <cell r="A213" t="str">
            <v>0604XDSB41A-P</v>
          </cell>
        </row>
        <row r="214">
          <cell r="A214" t="str">
            <v>0752XDSB41B-P</v>
          </cell>
        </row>
        <row r="215">
          <cell r="A215" t="str">
            <v>0754XDSB41A-P</v>
          </cell>
        </row>
        <row r="216">
          <cell r="A216" t="str">
            <v>3/46XDSC41A-P</v>
          </cell>
        </row>
        <row r="217">
          <cell r="A217" t="str">
            <v>0014XDSC41A-P</v>
          </cell>
        </row>
        <row r="218">
          <cell r="A218" t="str">
            <v>0016XDSC41A-P</v>
          </cell>
        </row>
        <row r="219">
          <cell r="A219" t="str">
            <v>Y152XDSC41A-P</v>
          </cell>
        </row>
        <row r="220">
          <cell r="A220" t="str">
            <v>Y154XDSC41A-P</v>
          </cell>
        </row>
        <row r="221">
          <cell r="A221" t="str">
            <v>Y156XDSC41A-P</v>
          </cell>
        </row>
        <row r="222">
          <cell r="A222" t="str">
            <v>0022XDSC41A-P</v>
          </cell>
        </row>
        <row r="223">
          <cell r="A223" t="str">
            <v>0024XDSC41A-P</v>
          </cell>
        </row>
        <row r="224">
          <cell r="A224" t="str">
            <v>0026XDSC41A-P</v>
          </cell>
        </row>
        <row r="225">
          <cell r="A225" t="str">
            <v>0032XDSC41A-P</v>
          </cell>
        </row>
        <row r="226">
          <cell r="A226" t="str">
            <v>0034XDSC41A-P</v>
          </cell>
        </row>
        <row r="227">
          <cell r="A227" t="str">
            <v>0036XDSC41A-P</v>
          </cell>
        </row>
        <row r="228">
          <cell r="A228" t="str">
            <v>0052XDSC41A-P</v>
          </cell>
        </row>
        <row r="229">
          <cell r="A229" t="str">
            <v>0054XDSC41A-P</v>
          </cell>
        </row>
        <row r="230">
          <cell r="A230" t="str">
            <v>0056XDSC41A-P</v>
          </cell>
        </row>
        <row r="231">
          <cell r="A231" t="str">
            <v>Y752XDSC41A-P</v>
          </cell>
        </row>
        <row r="232">
          <cell r="A232" t="str">
            <v>Y754XDSC41A-P</v>
          </cell>
        </row>
        <row r="233">
          <cell r="A233" t="str">
            <v>Y756XDSC41A-P</v>
          </cell>
        </row>
        <row r="234">
          <cell r="A234" t="str">
            <v>0102XDSC41A-P</v>
          </cell>
        </row>
        <row r="235">
          <cell r="A235" t="str">
            <v>0104XDSC41A-P</v>
          </cell>
        </row>
        <row r="236">
          <cell r="A236" t="str">
            <v>0106XDSC41A-P</v>
          </cell>
        </row>
        <row r="237">
          <cell r="A237" t="str">
            <v>0152XDSC41A-P</v>
          </cell>
        </row>
        <row r="238">
          <cell r="A238" t="str">
            <v>0154XDSC41A-P</v>
          </cell>
        </row>
        <row r="239">
          <cell r="A239" t="str">
            <v>0156XDSC41A-P</v>
          </cell>
        </row>
        <row r="240">
          <cell r="A240" t="str">
            <v>0202XDSC41A-P</v>
          </cell>
        </row>
        <row r="241">
          <cell r="A241" t="str">
            <v>0204XDSC41A-P</v>
          </cell>
        </row>
        <row r="242">
          <cell r="A242" t="str">
            <v>0206XDSC41A-P</v>
          </cell>
        </row>
        <row r="243">
          <cell r="A243" t="str">
            <v>0252XDSC41B-P</v>
          </cell>
        </row>
        <row r="244">
          <cell r="A244" t="str">
            <v>0254XDSC41A-P</v>
          </cell>
        </row>
        <row r="245">
          <cell r="A245" t="str">
            <v>0256XDSC41A-P</v>
          </cell>
        </row>
        <row r="246">
          <cell r="A246" t="str">
            <v>0302XDSC41B-P</v>
          </cell>
        </row>
        <row r="247">
          <cell r="A247" t="str">
            <v>0304XDSC41A-P</v>
          </cell>
        </row>
        <row r="248">
          <cell r="A248" t="str">
            <v>0306XDSC41A-P</v>
          </cell>
        </row>
        <row r="249">
          <cell r="A249" t="str">
            <v>0402XDSC41B-P</v>
          </cell>
        </row>
        <row r="250">
          <cell r="A250" t="str">
            <v>0404XDSC41A-P</v>
          </cell>
        </row>
        <row r="251">
          <cell r="A251" t="str">
            <v>0406XDSC41A-P</v>
          </cell>
        </row>
        <row r="252">
          <cell r="A252" t="str">
            <v>0502XDSC41B-P</v>
          </cell>
        </row>
        <row r="253">
          <cell r="A253" t="str">
            <v>0504XDSC41A-P</v>
          </cell>
        </row>
        <row r="254">
          <cell r="A254" t="str">
            <v>0506XDSC41A-P</v>
          </cell>
        </row>
        <row r="255">
          <cell r="A255" t="str">
            <v>0602XDSC41B-P</v>
          </cell>
        </row>
        <row r="256">
          <cell r="A256" t="str">
            <v>0604XDSC41A-P</v>
          </cell>
        </row>
        <row r="257">
          <cell r="A257" t="str">
            <v>0752XDSC41B-P</v>
          </cell>
        </row>
        <row r="258">
          <cell r="A258" t="str">
            <v>0754XDSC41A-P</v>
          </cell>
        </row>
      </sheetData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BQ115"/>
  <sheetViews>
    <sheetView showGridLines="0" tabSelected="1" zoomScale="85" zoomScaleNormal="85" zoomScaleSheetLayoutView="85" zoomScalePageLayoutView="85" workbookViewId="0">
      <pane ySplit="14" topLeftCell="A30" activePane="bottomLeft" state="frozen"/>
      <selection activeCell="B121" activeCellId="3" sqref="F124 D118 D120 B121"/>
      <selection pane="bottomLeft" activeCell="T41" sqref="T41"/>
    </sheetView>
  </sheetViews>
  <sheetFormatPr defaultColWidth="0" defaultRowHeight="14.25"/>
  <cols>
    <col min="1" max="1" width="1.140625" style="43" customWidth="1"/>
    <col min="2" max="4" width="2.42578125" style="43" customWidth="1"/>
    <col min="5" max="5" width="8.85546875" style="43" customWidth="1"/>
    <col min="6" max="6" width="13.42578125" style="43" customWidth="1"/>
    <col min="7" max="7" width="3" style="43" customWidth="1"/>
    <col min="8" max="8" width="1.7109375" style="43" customWidth="1"/>
    <col min="9" max="9" width="4" style="43" customWidth="1"/>
    <col min="10" max="11" width="2.42578125" style="43" customWidth="1"/>
    <col min="12" max="13" width="4.5703125" style="43" customWidth="1"/>
    <col min="14" max="14" width="6.85546875" style="43" customWidth="1"/>
    <col min="15" max="15" width="1.7109375" style="43" customWidth="1"/>
    <col min="16" max="16" width="13.5703125" style="43" customWidth="1"/>
    <col min="17" max="17" width="4.5703125" style="43" customWidth="1"/>
    <col min="18" max="18" width="9.85546875" style="43" customWidth="1"/>
    <col min="19" max="19" width="1.7109375" style="43" customWidth="1"/>
    <col min="20" max="20" width="11.42578125" style="43" customWidth="1"/>
    <col min="21" max="21" width="1.85546875" style="43" customWidth="1"/>
    <col min="22" max="22" width="15.42578125" style="43" customWidth="1"/>
    <col min="23" max="23" width="4.5703125" style="43" customWidth="1"/>
    <col min="24" max="24" width="6.140625" style="43" customWidth="1"/>
    <col min="25" max="25" width="6.28515625" style="43" customWidth="1"/>
    <col min="26" max="26" width="2" style="43" customWidth="1"/>
    <col min="27" max="27" width="6.28515625" style="43" customWidth="1"/>
    <col min="28" max="28" width="8.85546875" style="43" customWidth="1"/>
    <col min="29" max="29" width="12.7109375" style="43" customWidth="1"/>
    <col min="30" max="30" width="1.7109375" style="43" customWidth="1"/>
    <col min="31" max="31" width="10.85546875" style="43" customWidth="1"/>
    <col min="32" max="32" width="2.85546875" style="43" customWidth="1"/>
    <col min="33" max="33" width="8.140625" style="43" customWidth="1"/>
    <col min="34" max="34" width="1.7109375" style="43" customWidth="1"/>
    <col min="35" max="35" width="4.7109375" style="43" customWidth="1"/>
    <col min="36" max="36" width="7.140625" style="43" customWidth="1"/>
    <col min="37" max="37" width="0.5703125" style="43" customWidth="1"/>
    <col min="38" max="38" width="9" style="43" customWidth="1"/>
    <col min="39" max="39" width="7.42578125" style="43" customWidth="1"/>
    <col min="40" max="40" width="9.85546875" style="43" customWidth="1"/>
    <col min="41" max="41" width="11.140625" style="43" customWidth="1"/>
    <col min="42" max="42" width="9.85546875" style="43" hidden="1" customWidth="1"/>
    <col min="43" max="43" width="8" style="43" hidden="1" customWidth="1"/>
    <col min="44" max="44" width="9.140625" style="43" customWidth="1"/>
    <col min="45" max="45" width="9.140625" style="43" hidden="1" customWidth="1"/>
    <col min="46" max="16384" width="9.140625" style="43" hidden="1"/>
  </cols>
  <sheetData>
    <row r="1" spans="2:46" ht="14.45" customHeight="1">
      <c r="D1" s="326" t="s">
        <v>0</v>
      </c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  <c r="S1" s="326"/>
      <c r="T1" s="326"/>
      <c r="U1" s="326"/>
      <c r="V1" s="326"/>
      <c r="W1" s="326"/>
      <c r="X1" s="326"/>
      <c r="Y1" s="326"/>
      <c r="Z1" s="326"/>
      <c r="AA1" s="326"/>
      <c r="AB1" s="326"/>
      <c r="AC1" s="326"/>
      <c r="AD1" s="326"/>
      <c r="AE1" s="326"/>
      <c r="AF1" s="326"/>
      <c r="AG1" s="326"/>
      <c r="AH1" s="326"/>
      <c r="AI1" s="326"/>
      <c r="AJ1" s="326"/>
      <c r="AK1" s="326"/>
      <c r="AL1" s="326"/>
      <c r="AM1" s="326"/>
      <c r="AN1" s="326"/>
      <c r="AO1" s="326"/>
      <c r="AS1" s="41" t="b">
        <v>0</v>
      </c>
    </row>
    <row r="2" spans="2:46" ht="15" customHeight="1">
      <c r="B2" s="327" t="s">
        <v>1</v>
      </c>
      <c r="C2" s="328"/>
      <c r="D2" s="328"/>
      <c r="E2" s="328"/>
      <c r="F2" s="328"/>
      <c r="G2" s="329"/>
      <c r="I2" s="44"/>
      <c r="J2" s="45"/>
      <c r="K2" s="45"/>
      <c r="L2" s="45"/>
      <c r="M2" s="46"/>
      <c r="N2" s="46"/>
      <c r="O2" s="46"/>
      <c r="P2" s="46"/>
      <c r="Q2" s="330" t="s">
        <v>2</v>
      </c>
      <c r="R2" s="330"/>
      <c r="S2" s="330"/>
      <c r="T2" s="330"/>
      <c r="U2" s="330"/>
      <c r="V2" s="330"/>
      <c r="W2" s="330"/>
      <c r="X2" s="330"/>
      <c r="Y2" s="330"/>
      <c r="Z2" s="330"/>
      <c r="AA2" s="330"/>
      <c r="AB2" s="330"/>
      <c r="AC2" s="330"/>
      <c r="AD2" s="330"/>
      <c r="AE2" s="330"/>
      <c r="AF2" s="330"/>
      <c r="AG2" s="330"/>
      <c r="AH2" s="330"/>
      <c r="AI2" s="330"/>
      <c r="AJ2" s="331"/>
      <c r="AK2" s="47"/>
      <c r="AL2" s="334" t="s">
        <v>3</v>
      </c>
      <c r="AM2" s="328"/>
      <c r="AN2" s="328"/>
      <c r="AO2" s="329"/>
    </row>
    <row r="3" spans="2:46" ht="42" customHeight="1">
      <c r="B3" s="327" t="s">
        <v>4</v>
      </c>
      <c r="C3" s="328"/>
      <c r="D3" s="328"/>
      <c r="E3" s="328"/>
      <c r="F3" s="328"/>
      <c r="G3" s="329"/>
      <c r="I3" s="49"/>
      <c r="J3" s="50"/>
      <c r="K3" s="50"/>
      <c r="L3" s="51"/>
      <c r="M3" s="51"/>
      <c r="N3" s="51"/>
      <c r="O3" s="51"/>
      <c r="P3" s="51"/>
      <c r="Q3" s="332"/>
      <c r="R3" s="332"/>
      <c r="S3" s="332"/>
      <c r="T3" s="332"/>
      <c r="U3" s="332"/>
      <c r="V3" s="332"/>
      <c r="W3" s="332"/>
      <c r="X3" s="332"/>
      <c r="Y3" s="332"/>
      <c r="Z3" s="332"/>
      <c r="AA3" s="332"/>
      <c r="AB3" s="332"/>
      <c r="AC3" s="332"/>
      <c r="AD3" s="332"/>
      <c r="AE3" s="332"/>
      <c r="AF3" s="332"/>
      <c r="AG3" s="332"/>
      <c r="AH3" s="332"/>
      <c r="AI3" s="332"/>
      <c r="AJ3" s="333"/>
      <c r="AK3" s="47"/>
      <c r="AL3" s="334"/>
      <c r="AM3" s="328"/>
      <c r="AN3" s="328"/>
      <c r="AO3" s="329"/>
    </row>
    <row r="4" spans="2:46" ht="23.25" customHeight="1">
      <c r="F4" s="119" t="s">
        <v>441</v>
      </c>
      <c r="V4" s="119"/>
      <c r="Y4" s="119" t="s">
        <v>442</v>
      </c>
    </row>
    <row r="5" spans="2:46" ht="15" customHeight="1">
      <c r="B5" s="357" t="s">
        <v>78</v>
      </c>
      <c r="C5" s="357"/>
      <c r="D5" s="357"/>
      <c r="E5" s="357"/>
      <c r="F5" s="361" t="str">
        <f>IF(F6="Hàng bù", "Hàng Bù", IF(F6="Hàng điều chỉnh", "Hàng ĐC",IF(P10&lt;&gt;"",IFERROR(VLOOKUP(P10,List!$M$2:$N$1100,2,0),"-"),"Nhập mã sản phẩm")))</f>
        <v>Hàng Bù</v>
      </c>
      <c r="G5" s="362"/>
      <c r="H5" s="362"/>
      <c r="I5" s="362"/>
      <c r="J5" s="363"/>
      <c r="K5" s="52"/>
      <c r="L5" s="358" t="s">
        <v>5</v>
      </c>
      <c r="M5" s="359"/>
      <c r="N5" s="360"/>
      <c r="P5" s="358" t="s">
        <v>6</v>
      </c>
      <c r="Q5" s="359"/>
      <c r="R5" s="360"/>
      <c r="T5" s="53" t="s">
        <v>7</v>
      </c>
      <c r="V5" s="48" t="s">
        <v>330</v>
      </c>
      <c r="W5" s="372" t="s">
        <v>207</v>
      </c>
      <c r="X5" s="372"/>
      <c r="Y5" s="372"/>
      <c r="Z5"/>
      <c r="AA5" s="372" t="s">
        <v>321</v>
      </c>
      <c r="AB5" s="372"/>
      <c r="AC5" s="372"/>
      <c r="AD5"/>
      <c r="AE5" s="334" t="s">
        <v>8</v>
      </c>
      <c r="AF5" s="334"/>
      <c r="AG5" s="334"/>
      <c r="AI5" s="341" t="s">
        <v>9</v>
      </c>
      <c r="AJ5" s="342"/>
      <c r="AK5" s="343"/>
      <c r="AL5" s="344"/>
      <c r="AM5" s="344"/>
      <c r="AN5" s="344"/>
      <c r="AO5" s="345"/>
    </row>
    <row r="6" spans="2:46" ht="21" customHeight="1">
      <c r="B6" s="244" t="s">
        <v>218</v>
      </c>
      <c r="C6" s="245"/>
      <c r="D6" s="245"/>
      <c r="E6" s="246"/>
      <c r="F6" s="238" t="s">
        <v>1782</v>
      </c>
      <c r="G6" s="239"/>
      <c r="H6" s="239"/>
      <c r="I6" s="239"/>
      <c r="J6" s="240"/>
      <c r="K6" s="52"/>
      <c r="L6" s="219" t="s">
        <v>659</v>
      </c>
      <c r="M6" s="220"/>
      <c r="N6" s="221"/>
      <c r="P6" s="346"/>
      <c r="Q6" s="347"/>
      <c r="R6" s="348"/>
      <c r="S6" s="54"/>
      <c r="T6" s="352">
        <v>1</v>
      </c>
      <c r="U6" s="54"/>
      <c r="V6" s="256" t="str">
        <f>IFERROR((W10/R11)/60+HOUR(SUMIF(AL15:AL55,1,AI15:AI55))+MINUTE(SUMIF(AL15:AL55,1,AI15:AI55))/60,"-")</f>
        <v>-</v>
      </c>
      <c r="W6" s="373" t="str">
        <f>IFERROR((W10/R11)/(AK10*60),"")</f>
        <v/>
      </c>
      <c r="X6" s="373"/>
      <c r="Y6" s="373"/>
      <c r="Z6"/>
      <c r="AA6" s="374">
        <f>IFERROR(AM56,0)</f>
        <v>0</v>
      </c>
      <c r="AB6" s="374"/>
      <c r="AC6" s="374"/>
      <c r="AD6" s="30"/>
      <c r="AE6" s="354">
        <v>46224</v>
      </c>
      <c r="AF6" s="355"/>
      <c r="AG6" s="355"/>
      <c r="AI6" s="356" t="str">
        <f>IFERROR(VLOOKUP(AK5,List!$D$2:$E$400,2,0),"-")</f>
        <v>-</v>
      </c>
      <c r="AJ6" s="356"/>
      <c r="AK6" s="356"/>
      <c r="AL6" s="356"/>
      <c r="AM6" s="356"/>
      <c r="AN6" s="356"/>
      <c r="AO6" s="356"/>
    </row>
    <row r="7" spans="2:46" ht="21" customHeight="1">
      <c r="B7" s="247"/>
      <c r="C7" s="248"/>
      <c r="D7" s="248"/>
      <c r="E7" s="249"/>
      <c r="F7" s="241"/>
      <c r="G7" s="242"/>
      <c r="H7" s="242"/>
      <c r="I7" s="242"/>
      <c r="J7" s="243"/>
      <c r="K7" s="52"/>
      <c r="L7" s="222"/>
      <c r="M7" s="223"/>
      <c r="N7" s="224"/>
      <c r="P7" s="349"/>
      <c r="Q7" s="350"/>
      <c r="R7" s="351"/>
      <c r="S7" s="54"/>
      <c r="T7" s="353"/>
      <c r="U7"/>
      <c r="V7" s="256"/>
      <c r="W7" s="373"/>
      <c r="X7" s="373"/>
      <c r="Y7" s="373"/>
      <c r="Z7"/>
      <c r="AA7" s="374"/>
      <c r="AB7" s="374"/>
      <c r="AC7" s="374"/>
      <c r="AD7"/>
      <c r="AE7" s="355"/>
      <c r="AF7" s="355"/>
      <c r="AG7" s="355"/>
      <c r="AI7" s="356"/>
      <c r="AJ7" s="356"/>
      <c r="AK7" s="356"/>
      <c r="AL7" s="356"/>
      <c r="AM7" s="356"/>
      <c r="AN7" s="356"/>
      <c r="AO7" s="356"/>
    </row>
    <row r="8" spans="2:46" ht="7.5" customHeight="1">
      <c r="U8"/>
      <c r="V8"/>
    </row>
    <row r="9" spans="2:46" s="58" customFormat="1" ht="18.75" customHeight="1">
      <c r="B9" s="225" t="s">
        <v>107</v>
      </c>
      <c r="C9" s="226"/>
      <c r="D9" s="226"/>
      <c r="E9" s="226"/>
      <c r="F9" s="227"/>
      <c r="G9" s="55"/>
      <c r="H9" s="234" t="s">
        <v>10</v>
      </c>
      <c r="I9" s="235"/>
      <c r="J9" s="235"/>
      <c r="K9" s="235"/>
      <c r="L9" s="235"/>
      <c r="M9" s="235"/>
      <c r="N9" s="236"/>
      <c r="O9" s="55"/>
      <c r="P9" s="317" t="s">
        <v>11</v>
      </c>
      <c r="Q9" s="318"/>
      <c r="R9" s="318"/>
      <c r="S9" s="318"/>
      <c r="T9" s="318"/>
      <c r="U9"/>
      <c r="V9" s="120" t="s">
        <v>461</v>
      </c>
      <c r="W9" s="283" t="s">
        <v>109</v>
      </c>
      <c r="X9" s="319"/>
      <c r="Y9" s="319"/>
      <c r="Z9" s="55"/>
      <c r="AA9" s="320" t="s">
        <v>12</v>
      </c>
      <c r="AB9" s="320"/>
      <c r="AC9" s="57" t="s">
        <v>13</v>
      </c>
      <c r="AD9" s="55"/>
      <c r="AE9" s="234" t="s">
        <v>14</v>
      </c>
      <c r="AF9" s="235"/>
      <c r="AG9" s="236"/>
      <c r="AH9" s="234" t="s">
        <v>15</v>
      </c>
      <c r="AI9" s="235"/>
      <c r="AJ9" s="236"/>
      <c r="AK9" s="234" t="s">
        <v>208</v>
      </c>
      <c r="AL9" s="235"/>
      <c r="AM9" s="235"/>
      <c r="AN9" s="235"/>
      <c r="AO9" s="236"/>
    </row>
    <row r="10" spans="2:46" s="58" customFormat="1" ht="21" customHeight="1">
      <c r="B10" s="228"/>
      <c r="C10" s="229"/>
      <c r="D10" s="229"/>
      <c r="E10" s="229"/>
      <c r="F10" s="230"/>
      <c r="H10" s="364" t="str">
        <f>LEFT(P10,6)</f>
        <v/>
      </c>
      <c r="I10" s="365"/>
      <c r="J10" s="365"/>
      <c r="K10" s="365"/>
      <c r="L10" s="365"/>
      <c r="M10" s="365"/>
      <c r="N10" s="366"/>
      <c r="O10" s="59"/>
      <c r="P10" s="377"/>
      <c r="Q10" s="378"/>
      <c r="R10" s="378"/>
      <c r="S10" s="378"/>
      <c r="T10" s="379"/>
      <c r="U10"/>
      <c r="V10" s="142"/>
      <c r="W10" s="380">
        <f>SUM(AC10:AC11)</f>
        <v>0</v>
      </c>
      <c r="X10" s="381"/>
      <c r="Y10" s="382" t="s">
        <v>17</v>
      </c>
      <c r="Z10" s="59"/>
      <c r="AA10" s="57" t="s">
        <v>18</v>
      </c>
      <c r="AB10" s="151"/>
      <c r="AC10" s="115"/>
      <c r="AD10" s="59"/>
      <c r="AE10" s="383"/>
      <c r="AF10" s="383"/>
      <c r="AG10" s="383"/>
      <c r="AH10" s="315"/>
      <c r="AI10" s="315"/>
      <c r="AJ10" s="315"/>
      <c r="AK10" s="316">
        <v>0.9</v>
      </c>
      <c r="AL10" s="316"/>
      <c r="AM10" s="316"/>
      <c r="AN10" s="316"/>
      <c r="AO10" s="316"/>
      <c r="AS10" s="60"/>
    </row>
    <row r="11" spans="2:46" s="58" customFormat="1" ht="30" customHeight="1">
      <c r="B11" s="231" t="str">
        <f>IF(AS1=TRUE,"Thử nghiệm","")</f>
        <v/>
      </c>
      <c r="C11" s="232"/>
      <c r="D11" s="232"/>
      <c r="E11" s="232"/>
      <c r="F11" s="233"/>
      <c r="H11" s="367"/>
      <c r="I11" s="368"/>
      <c r="J11" s="368"/>
      <c r="K11" s="368"/>
      <c r="L11" s="368"/>
      <c r="M11" s="368"/>
      <c r="N11" s="369"/>
      <c r="O11" s="59"/>
      <c r="P11" s="234" t="s">
        <v>108</v>
      </c>
      <c r="Q11" s="235"/>
      <c r="R11" s="323"/>
      <c r="S11" s="323"/>
      <c r="T11" s="323"/>
      <c r="U11"/>
      <c r="V11" s="121" t="s">
        <v>462</v>
      </c>
      <c r="W11" s="380"/>
      <c r="X11" s="381"/>
      <c r="Y11" s="382"/>
      <c r="Z11" s="59"/>
      <c r="AA11" s="57" t="s">
        <v>19</v>
      </c>
      <c r="AB11" s="115"/>
      <c r="AC11" s="32"/>
      <c r="AD11" s="59"/>
      <c r="AE11" s="383"/>
      <c r="AF11" s="383"/>
      <c r="AG11" s="383"/>
      <c r="AH11" s="315"/>
      <c r="AI11" s="315"/>
      <c r="AJ11" s="315"/>
      <c r="AK11" s="316"/>
      <c r="AL11" s="316"/>
      <c r="AM11" s="316"/>
      <c r="AN11" s="316"/>
      <c r="AO11" s="316"/>
      <c r="AR11" s="60"/>
      <c r="AS11" s="60" t="s">
        <v>608</v>
      </c>
      <c r="AT11" s="60"/>
    </row>
    <row r="12" spans="2:46" s="58" customFormat="1" ht="7.5" customHeight="1">
      <c r="U12"/>
      <c r="V12" s="324" t="e">
        <f>AS13&amp;":"&amp;AS14</f>
        <v>#DIV/0!</v>
      </c>
      <c r="AD12" s="43"/>
      <c r="AE12" s="43"/>
      <c r="AF12" s="43"/>
      <c r="AG12" s="43"/>
      <c r="AH12" s="43"/>
      <c r="AI12" s="150">
        <v>0.25</v>
      </c>
      <c r="AJ12" s="43"/>
      <c r="AK12" s="43"/>
      <c r="AL12" s="43"/>
      <c r="AM12" s="43"/>
      <c r="AN12" s="43"/>
      <c r="AO12" s="43"/>
      <c r="AR12" s="60"/>
      <c r="AS12" s="60"/>
      <c r="AT12" s="60"/>
    </row>
    <row r="13" spans="2:46" s="58" customFormat="1" ht="18" customHeight="1">
      <c r="B13" s="234" t="s">
        <v>20</v>
      </c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6"/>
      <c r="O13" s="61"/>
      <c r="P13" s="319" t="s">
        <v>110</v>
      </c>
      <c r="Q13" s="319"/>
      <c r="R13" s="319"/>
      <c r="S13" s="319"/>
      <c r="T13" s="319"/>
      <c r="U13" s="55"/>
      <c r="V13" s="325"/>
      <c r="W13" s="321" t="s">
        <v>21</v>
      </c>
      <c r="X13" s="322"/>
      <c r="Y13" s="322"/>
      <c r="Z13" s="322"/>
      <c r="AA13" s="322"/>
      <c r="AB13" s="322"/>
      <c r="AC13" s="322"/>
      <c r="AD13" s="322"/>
      <c r="AE13" s="322"/>
      <c r="AF13" s="322"/>
      <c r="AG13" s="322"/>
      <c r="AH13" s="322"/>
      <c r="AI13" s="322"/>
      <c r="AJ13" s="322"/>
      <c r="AK13" s="322"/>
      <c r="AL13" s="322"/>
      <c r="AM13" s="322"/>
      <c r="AN13" s="322"/>
      <c r="AO13" s="322"/>
      <c r="AS13" s="58" t="e">
        <f>INT(V10/R11/60)</f>
        <v>#DIV/0!</v>
      </c>
    </row>
    <row r="14" spans="2:46" s="58" customFormat="1" ht="18" customHeight="1" thickBot="1">
      <c r="B14" s="234" t="s">
        <v>22</v>
      </c>
      <c r="C14" s="235"/>
      <c r="D14" s="235"/>
      <c r="E14" s="236"/>
      <c r="F14" s="57" t="s">
        <v>23</v>
      </c>
      <c r="G14" s="384" t="s">
        <v>24</v>
      </c>
      <c r="H14" s="384"/>
      <c r="I14" s="384"/>
      <c r="J14" s="385" t="s">
        <v>113</v>
      </c>
      <c r="K14" s="386"/>
      <c r="L14" s="386"/>
      <c r="M14" s="386"/>
      <c r="N14" s="387"/>
      <c r="O14" s="61"/>
      <c r="P14" s="57" t="s">
        <v>26</v>
      </c>
      <c r="Q14" s="320" t="s">
        <v>25</v>
      </c>
      <c r="R14" s="320"/>
      <c r="S14" s="320"/>
      <c r="T14" s="320"/>
      <c r="U14" s="55"/>
      <c r="V14" s="55"/>
      <c r="W14" s="388" t="s">
        <v>27</v>
      </c>
      <c r="X14" s="388"/>
      <c r="Y14" s="389" t="s">
        <v>28</v>
      </c>
      <c r="Z14" s="390"/>
      <c r="AA14" s="390"/>
      <c r="AB14" s="390"/>
      <c r="AC14" s="390"/>
      <c r="AD14" s="390"/>
      <c r="AE14" s="391"/>
      <c r="AF14" s="312" t="s">
        <v>24</v>
      </c>
      <c r="AG14" s="313"/>
      <c r="AH14" s="314"/>
      <c r="AI14" s="312" t="s">
        <v>16</v>
      </c>
      <c r="AJ14" s="313"/>
      <c r="AK14" s="314"/>
      <c r="AL14" s="63" t="s">
        <v>29</v>
      </c>
      <c r="AM14" s="64" t="s">
        <v>30</v>
      </c>
      <c r="AN14" s="64" t="s">
        <v>31</v>
      </c>
      <c r="AO14" s="62" t="s">
        <v>32</v>
      </c>
      <c r="AS14" s="58" t="e">
        <f>INT((V10/R11)-(AS13*60))</f>
        <v>#DIV/0!</v>
      </c>
    </row>
    <row r="15" spans="2:46" s="58" customFormat="1" ht="18" customHeight="1">
      <c r="B15" s="292" t="s">
        <v>1052</v>
      </c>
      <c r="C15" s="293"/>
      <c r="D15" s="293"/>
      <c r="E15" s="294"/>
      <c r="F15" s="298" t="s">
        <v>419</v>
      </c>
      <c r="G15" s="300">
        <v>0</v>
      </c>
      <c r="H15" s="300"/>
      <c r="I15" s="300"/>
      <c r="J15" s="301">
        <f>SUM(Q15,J25,F48)</f>
        <v>0</v>
      </c>
      <c r="K15" s="302"/>
      <c r="L15" s="302"/>
      <c r="M15" s="302"/>
      <c r="N15" s="303"/>
      <c r="O15" s="65"/>
      <c r="P15" s="307"/>
      <c r="Q15" s="270">
        <v>0</v>
      </c>
      <c r="R15" s="271"/>
      <c r="S15" s="271"/>
      <c r="T15" s="272"/>
      <c r="U15" s="66"/>
      <c r="V15" s="198" t="s">
        <v>210</v>
      </c>
      <c r="W15" s="308">
        <v>103</v>
      </c>
      <c r="X15" s="309"/>
      <c r="Y15" s="310" t="s">
        <v>33</v>
      </c>
      <c r="Z15" s="310"/>
      <c r="AA15" s="310"/>
      <c r="AB15" s="310"/>
      <c r="AC15" s="310"/>
      <c r="AD15" s="311"/>
      <c r="AE15" s="311"/>
      <c r="AF15" s="284"/>
      <c r="AG15" s="284"/>
      <c r="AH15" s="284"/>
      <c r="AI15" s="285"/>
      <c r="AJ15" s="285"/>
      <c r="AK15" s="285"/>
      <c r="AL15" s="35">
        <v>0</v>
      </c>
      <c r="AM15" s="35">
        <v>1</v>
      </c>
      <c r="AN15" s="35"/>
      <c r="AO15" s="67"/>
      <c r="AP15" s="58">
        <v>103</v>
      </c>
      <c r="AQ15" s="122">
        <f t="shared" ref="AQ15:AQ27" si="0">AI15*24</f>
        <v>0</v>
      </c>
    </row>
    <row r="16" spans="2:46" s="58" customFormat="1" ht="18" customHeight="1">
      <c r="B16" s="295"/>
      <c r="C16" s="296"/>
      <c r="D16" s="296"/>
      <c r="E16" s="297"/>
      <c r="F16" s="299"/>
      <c r="G16" s="300"/>
      <c r="H16" s="300"/>
      <c r="I16" s="300"/>
      <c r="J16" s="304"/>
      <c r="K16" s="305"/>
      <c r="L16" s="305"/>
      <c r="M16" s="305"/>
      <c r="N16" s="306"/>
      <c r="O16" s="65"/>
      <c r="P16" s="307"/>
      <c r="Q16" s="273"/>
      <c r="R16" s="274"/>
      <c r="S16" s="274"/>
      <c r="T16" s="275"/>
      <c r="U16" s="66"/>
      <c r="V16" s="199"/>
      <c r="W16" s="186">
        <v>104</v>
      </c>
      <c r="X16" s="187"/>
      <c r="Y16" s="192" t="s">
        <v>34</v>
      </c>
      <c r="Z16" s="192"/>
      <c r="AA16" s="192"/>
      <c r="AB16" s="192"/>
      <c r="AC16" s="192"/>
      <c r="AD16" s="192"/>
      <c r="AE16" s="192"/>
      <c r="AF16" s="165"/>
      <c r="AG16" s="165"/>
      <c r="AH16" s="165"/>
      <c r="AI16" s="173"/>
      <c r="AJ16" s="173"/>
      <c r="AK16" s="173"/>
      <c r="AL16" s="37">
        <v>0</v>
      </c>
      <c r="AM16" s="37">
        <v>1</v>
      </c>
      <c r="AN16" s="37"/>
      <c r="AO16" s="68"/>
      <c r="AP16" s="58">
        <v>104</v>
      </c>
      <c r="AQ16" s="122">
        <f t="shared" si="0"/>
        <v>0</v>
      </c>
    </row>
    <row r="17" spans="2:43" s="58" customFormat="1" ht="18" customHeight="1"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S17" s="66"/>
      <c r="U17" s="66"/>
      <c r="V17" s="199"/>
      <c r="W17" s="186">
        <v>102</v>
      </c>
      <c r="X17" s="187"/>
      <c r="Y17" s="192" t="s">
        <v>64</v>
      </c>
      <c r="Z17" s="192"/>
      <c r="AA17" s="192"/>
      <c r="AB17" s="192"/>
      <c r="AC17" s="192"/>
      <c r="AD17" s="192"/>
      <c r="AE17" s="192"/>
      <c r="AF17" s="165"/>
      <c r="AG17" s="165"/>
      <c r="AH17" s="165"/>
      <c r="AI17" s="173"/>
      <c r="AJ17" s="173"/>
      <c r="AK17" s="173"/>
      <c r="AL17" s="37"/>
      <c r="AM17" s="37"/>
      <c r="AN17" s="37"/>
      <c r="AO17" s="68"/>
      <c r="AP17" s="58">
        <v>102</v>
      </c>
      <c r="AQ17" s="122">
        <f t="shared" si="0"/>
        <v>0</v>
      </c>
    </row>
    <row r="18" spans="2:43" s="58" customFormat="1" ht="18" customHeight="1">
      <c r="B18" s="281" t="s">
        <v>111</v>
      </c>
      <c r="C18" s="282"/>
      <c r="D18" s="282"/>
      <c r="E18" s="282"/>
      <c r="F18" s="282"/>
      <c r="G18" s="282"/>
      <c r="H18" s="282"/>
      <c r="I18" s="282"/>
      <c r="J18" s="282"/>
      <c r="K18" s="282"/>
      <c r="L18" s="282"/>
      <c r="M18" s="282"/>
      <c r="N18" s="283"/>
      <c r="O18" s="69"/>
      <c r="P18" s="320" t="s">
        <v>37</v>
      </c>
      <c r="Q18" s="320"/>
      <c r="R18" s="320"/>
      <c r="S18" s="320"/>
      <c r="T18" s="320"/>
      <c r="U18" s="66"/>
      <c r="V18" s="199"/>
      <c r="W18" s="186">
        <v>111</v>
      </c>
      <c r="X18" s="187"/>
      <c r="Y18" s="192" t="s">
        <v>65</v>
      </c>
      <c r="Z18" s="192"/>
      <c r="AA18" s="192"/>
      <c r="AB18" s="192"/>
      <c r="AC18" s="192"/>
      <c r="AD18" s="192"/>
      <c r="AE18" s="192"/>
      <c r="AF18" s="165"/>
      <c r="AG18" s="165"/>
      <c r="AH18" s="165"/>
      <c r="AI18" s="173"/>
      <c r="AJ18" s="173"/>
      <c r="AK18" s="173"/>
      <c r="AL18" s="37"/>
      <c r="AM18" s="37"/>
      <c r="AN18" s="37"/>
      <c r="AO18" s="68"/>
      <c r="AP18" s="58">
        <v>111</v>
      </c>
      <c r="AQ18" s="122">
        <f t="shared" si="0"/>
        <v>0</v>
      </c>
    </row>
    <row r="19" spans="2:43" s="58" customFormat="1" ht="18" customHeight="1">
      <c r="B19" s="234" t="s">
        <v>22</v>
      </c>
      <c r="C19" s="235"/>
      <c r="D19" s="235"/>
      <c r="E19" s="235"/>
      <c r="F19" s="235"/>
      <c r="G19" s="235"/>
      <c r="H19" s="235"/>
      <c r="I19" s="236"/>
      <c r="J19" s="234" t="s">
        <v>40</v>
      </c>
      <c r="K19" s="235"/>
      <c r="L19" s="235"/>
      <c r="M19" s="235"/>
      <c r="N19" s="236"/>
      <c r="O19" s="69"/>
      <c r="P19" s="56" t="s">
        <v>27</v>
      </c>
      <c r="Q19" s="234" t="s">
        <v>41</v>
      </c>
      <c r="R19" s="235"/>
      <c r="S19" s="235"/>
      <c r="T19" s="236"/>
      <c r="U19" s="66"/>
      <c r="V19" s="199"/>
      <c r="W19" s="186">
        <v>114</v>
      </c>
      <c r="X19" s="187"/>
      <c r="Y19" s="192" t="s">
        <v>209</v>
      </c>
      <c r="Z19" s="192"/>
      <c r="AA19" s="192"/>
      <c r="AB19" s="192"/>
      <c r="AC19" s="192"/>
      <c r="AD19" s="192"/>
      <c r="AE19" s="192"/>
      <c r="AF19" s="165"/>
      <c r="AG19" s="165"/>
      <c r="AH19" s="165"/>
      <c r="AI19" s="173"/>
      <c r="AJ19" s="173"/>
      <c r="AK19" s="173"/>
      <c r="AL19" s="37">
        <v>0</v>
      </c>
      <c r="AM19" s="37">
        <v>1</v>
      </c>
      <c r="AN19" s="37"/>
      <c r="AO19" s="68"/>
      <c r="AP19" s="58">
        <v>114</v>
      </c>
      <c r="AQ19" s="122">
        <f t="shared" si="0"/>
        <v>0</v>
      </c>
    </row>
    <row r="20" spans="2:43" s="58" customFormat="1" ht="18" customHeight="1" thickBot="1">
      <c r="B20" s="286" t="s">
        <v>1832</v>
      </c>
      <c r="C20" s="287"/>
      <c r="D20" s="287"/>
      <c r="E20" s="287"/>
      <c r="F20" s="287"/>
      <c r="G20" s="287"/>
      <c r="H20" s="287"/>
      <c r="I20" s="288"/>
      <c r="J20" s="270">
        <v>47</v>
      </c>
      <c r="K20" s="271"/>
      <c r="L20" s="271"/>
      <c r="M20" s="271"/>
      <c r="N20" s="272"/>
      <c r="O20" s="65"/>
      <c r="P20" s="70"/>
      <c r="Q20" s="257"/>
      <c r="R20" s="204"/>
      <c r="S20" s="204"/>
      <c r="T20" s="186"/>
      <c r="U20" s="66"/>
      <c r="V20" s="200"/>
      <c r="W20" s="188">
        <v>115</v>
      </c>
      <c r="X20" s="189"/>
      <c r="Y20" s="197" t="s">
        <v>322</v>
      </c>
      <c r="Z20" s="197"/>
      <c r="AA20" s="197"/>
      <c r="AB20" s="197"/>
      <c r="AC20" s="197"/>
      <c r="AD20" s="197"/>
      <c r="AE20" s="197"/>
      <c r="AF20" s="171"/>
      <c r="AG20" s="171"/>
      <c r="AH20" s="171"/>
      <c r="AI20" s="172"/>
      <c r="AJ20" s="172"/>
      <c r="AK20" s="172"/>
      <c r="AL20" s="38">
        <v>0</v>
      </c>
      <c r="AM20" s="38">
        <v>1</v>
      </c>
      <c r="AN20" s="38"/>
      <c r="AO20" s="71"/>
      <c r="AP20" s="58">
        <v>115</v>
      </c>
      <c r="AQ20" s="122">
        <f t="shared" si="0"/>
        <v>0</v>
      </c>
    </row>
    <row r="21" spans="2:43" s="58" customFormat="1" ht="18" customHeight="1">
      <c r="B21" s="289"/>
      <c r="C21" s="290"/>
      <c r="D21" s="290"/>
      <c r="E21" s="290"/>
      <c r="F21" s="290"/>
      <c r="G21" s="290"/>
      <c r="H21" s="290"/>
      <c r="I21" s="291"/>
      <c r="J21" s="273"/>
      <c r="K21" s="274"/>
      <c r="L21" s="274"/>
      <c r="M21" s="274"/>
      <c r="N21" s="275"/>
      <c r="O21" s="65"/>
      <c r="P21" s="70"/>
      <c r="Q21" s="257"/>
      <c r="R21" s="204"/>
      <c r="S21" s="204"/>
      <c r="T21" s="186"/>
      <c r="U21" s="66"/>
      <c r="V21" s="198" t="s">
        <v>211</v>
      </c>
      <c r="W21" s="308" t="s">
        <v>43</v>
      </c>
      <c r="X21" s="309"/>
      <c r="Y21" s="278" t="s">
        <v>44</v>
      </c>
      <c r="Z21" s="279"/>
      <c r="AA21" s="279"/>
      <c r="AB21" s="279"/>
      <c r="AC21" s="279"/>
      <c r="AD21" s="279"/>
      <c r="AE21" s="280"/>
      <c r="AF21" s="284"/>
      <c r="AG21" s="284"/>
      <c r="AH21" s="284"/>
      <c r="AI21" s="285"/>
      <c r="AJ21" s="285"/>
      <c r="AK21" s="285"/>
      <c r="AL21" s="35">
        <v>0</v>
      </c>
      <c r="AM21" s="35">
        <v>1</v>
      </c>
      <c r="AN21" s="35"/>
      <c r="AO21" s="67"/>
      <c r="AP21" s="58" t="s">
        <v>43</v>
      </c>
      <c r="AQ21" s="122">
        <f t="shared" si="0"/>
        <v>0</v>
      </c>
    </row>
    <row r="22" spans="2:43" s="58" customFormat="1" ht="18" customHeight="1">
      <c r="O22" s="65"/>
      <c r="P22" s="70"/>
      <c r="Q22" s="257"/>
      <c r="R22" s="204"/>
      <c r="S22" s="204"/>
      <c r="T22" s="186"/>
      <c r="U22" s="66"/>
      <c r="V22" s="199"/>
      <c r="W22" s="186" t="s">
        <v>45</v>
      </c>
      <c r="X22" s="187"/>
      <c r="Y22" s="276" t="s">
        <v>46</v>
      </c>
      <c r="Z22" s="277"/>
      <c r="AA22" s="277"/>
      <c r="AB22" s="277"/>
      <c r="AC22" s="277"/>
      <c r="AD22" s="277"/>
      <c r="AE22" s="191"/>
      <c r="AF22" s="165"/>
      <c r="AG22" s="165"/>
      <c r="AH22" s="165"/>
      <c r="AI22" s="173"/>
      <c r="AJ22" s="173"/>
      <c r="AK22" s="173"/>
      <c r="AL22" s="37">
        <v>0</v>
      </c>
      <c r="AM22" s="37">
        <v>1</v>
      </c>
      <c r="AN22" s="37"/>
      <c r="AO22" s="68"/>
      <c r="AP22" s="58" t="s">
        <v>45</v>
      </c>
      <c r="AQ22" s="122">
        <f t="shared" si="0"/>
        <v>0</v>
      </c>
    </row>
    <row r="23" spans="2:43" s="58" customFormat="1" ht="18" customHeight="1">
      <c r="B23" s="281" t="s">
        <v>112</v>
      </c>
      <c r="C23" s="282"/>
      <c r="D23" s="282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65"/>
      <c r="P23" s="70"/>
      <c r="Q23" s="257"/>
      <c r="R23" s="204"/>
      <c r="S23" s="204"/>
      <c r="T23" s="186"/>
      <c r="U23" s="66"/>
      <c r="V23" s="199"/>
      <c r="W23" s="186" t="s">
        <v>47</v>
      </c>
      <c r="X23" s="187"/>
      <c r="Y23" s="276" t="s">
        <v>48</v>
      </c>
      <c r="Z23" s="277"/>
      <c r="AA23" s="277"/>
      <c r="AB23" s="277"/>
      <c r="AC23" s="277"/>
      <c r="AD23" s="277"/>
      <c r="AE23" s="191"/>
      <c r="AF23" s="165"/>
      <c r="AG23" s="165"/>
      <c r="AH23" s="165"/>
      <c r="AI23" s="173"/>
      <c r="AJ23" s="173"/>
      <c r="AK23" s="173"/>
      <c r="AL23" s="37">
        <v>0</v>
      </c>
      <c r="AM23" s="37">
        <v>1</v>
      </c>
      <c r="AN23" s="37"/>
      <c r="AO23" s="68"/>
      <c r="AP23" s="58" t="s">
        <v>47</v>
      </c>
      <c r="AQ23" s="122">
        <f t="shared" si="0"/>
        <v>0</v>
      </c>
    </row>
    <row r="24" spans="2:43" s="58" customFormat="1" ht="18" customHeight="1">
      <c r="B24" s="234" t="s">
        <v>22</v>
      </c>
      <c r="C24" s="235"/>
      <c r="D24" s="235"/>
      <c r="E24" s="235"/>
      <c r="F24" s="235"/>
      <c r="G24" s="235"/>
      <c r="H24" s="235"/>
      <c r="I24" s="236"/>
      <c r="J24" s="234" t="s">
        <v>51</v>
      </c>
      <c r="K24" s="235"/>
      <c r="L24" s="235"/>
      <c r="M24" s="235"/>
      <c r="N24" s="236"/>
      <c r="O24" s="65"/>
      <c r="P24" s="70"/>
      <c r="Q24" s="257"/>
      <c r="R24" s="204"/>
      <c r="S24" s="204"/>
      <c r="T24" s="186"/>
      <c r="U24" s="66"/>
      <c r="V24" s="199"/>
      <c r="W24" s="186" t="s">
        <v>49</v>
      </c>
      <c r="X24" s="187"/>
      <c r="Y24" s="276" t="s">
        <v>50</v>
      </c>
      <c r="Z24" s="277"/>
      <c r="AA24" s="277"/>
      <c r="AB24" s="277"/>
      <c r="AC24" s="277"/>
      <c r="AD24" s="277"/>
      <c r="AE24" s="191"/>
      <c r="AF24" s="165"/>
      <c r="AG24" s="165"/>
      <c r="AH24" s="165"/>
      <c r="AI24" s="173"/>
      <c r="AJ24" s="173"/>
      <c r="AK24" s="173"/>
      <c r="AL24" s="37">
        <v>0</v>
      </c>
      <c r="AM24" s="37">
        <v>1</v>
      </c>
      <c r="AN24" s="37"/>
      <c r="AO24" s="68"/>
      <c r="AP24" s="58" t="s">
        <v>49</v>
      </c>
      <c r="AQ24" s="122">
        <f t="shared" si="0"/>
        <v>0</v>
      </c>
    </row>
    <row r="25" spans="2:43" s="58" customFormat="1" ht="18" customHeight="1">
      <c r="B25" s="264" t="str">
        <f>IF(P15&lt;&gt;"",P15,"")</f>
        <v/>
      </c>
      <c r="C25" s="265"/>
      <c r="D25" s="265"/>
      <c r="E25" s="265"/>
      <c r="F25" s="265"/>
      <c r="G25" s="265"/>
      <c r="H25" s="265"/>
      <c r="I25" s="266"/>
      <c r="J25" s="270">
        <v>0</v>
      </c>
      <c r="K25" s="271"/>
      <c r="L25" s="271"/>
      <c r="M25" s="271"/>
      <c r="N25" s="272"/>
      <c r="O25" s="65"/>
      <c r="P25" s="70"/>
      <c r="Q25" s="257"/>
      <c r="R25" s="204"/>
      <c r="S25" s="204"/>
      <c r="T25" s="186"/>
      <c r="U25" s="66"/>
      <c r="V25" s="199"/>
      <c r="W25" s="186">
        <v>206</v>
      </c>
      <c r="X25" s="187"/>
      <c r="Y25" s="276" t="s">
        <v>42</v>
      </c>
      <c r="Z25" s="277"/>
      <c r="AA25" s="277"/>
      <c r="AB25" s="277"/>
      <c r="AC25" s="277"/>
      <c r="AD25" s="277"/>
      <c r="AE25" s="191"/>
      <c r="AF25" s="165"/>
      <c r="AG25" s="165"/>
      <c r="AH25" s="165"/>
      <c r="AI25" s="173"/>
      <c r="AJ25" s="173"/>
      <c r="AK25" s="173"/>
      <c r="AL25" s="37">
        <v>0</v>
      </c>
      <c r="AM25" s="37">
        <v>1</v>
      </c>
      <c r="AN25" s="37"/>
      <c r="AO25" s="68"/>
      <c r="AP25" s="58">
        <v>206</v>
      </c>
      <c r="AQ25" s="122">
        <f t="shared" si="0"/>
        <v>0</v>
      </c>
    </row>
    <row r="26" spans="2:43" s="58" customFormat="1" ht="18" customHeight="1" thickBot="1">
      <c r="B26" s="267"/>
      <c r="C26" s="268"/>
      <c r="D26" s="268"/>
      <c r="E26" s="268"/>
      <c r="F26" s="268"/>
      <c r="G26" s="268"/>
      <c r="H26" s="268"/>
      <c r="I26" s="269"/>
      <c r="J26" s="273"/>
      <c r="K26" s="274"/>
      <c r="L26" s="274"/>
      <c r="M26" s="274"/>
      <c r="N26" s="275"/>
      <c r="O26" s="66"/>
      <c r="P26" s="70"/>
      <c r="Q26" s="257"/>
      <c r="R26" s="204"/>
      <c r="S26" s="204"/>
      <c r="T26" s="186"/>
      <c r="U26" s="75"/>
      <c r="V26" s="200"/>
      <c r="W26" s="188">
        <v>202</v>
      </c>
      <c r="X26" s="189"/>
      <c r="Y26" s="375" t="s">
        <v>117</v>
      </c>
      <c r="Z26" s="376"/>
      <c r="AA26" s="376"/>
      <c r="AB26" s="376"/>
      <c r="AC26" s="376"/>
      <c r="AD26" s="376"/>
      <c r="AE26" s="196"/>
      <c r="AF26" s="171"/>
      <c r="AG26" s="171"/>
      <c r="AH26" s="171"/>
      <c r="AI26" s="172"/>
      <c r="AJ26" s="172"/>
      <c r="AK26" s="172"/>
      <c r="AL26" s="38">
        <v>1</v>
      </c>
      <c r="AM26" s="38">
        <v>1</v>
      </c>
      <c r="AN26" s="38"/>
      <c r="AO26" s="71"/>
      <c r="AP26" s="58">
        <v>202</v>
      </c>
      <c r="AQ26" s="122">
        <f t="shared" si="0"/>
        <v>0</v>
      </c>
    </row>
    <row r="27" spans="2:43" s="58" customFormat="1" ht="18" customHeight="1">
      <c r="J27" s="77"/>
      <c r="K27" s="77"/>
      <c r="L27" s="77"/>
      <c r="M27" s="77"/>
      <c r="N27" s="77"/>
      <c r="O27" s="66"/>
      <c r="P27" s="70"/>
      <c r="Q27" s="257"/>
      <c r="R27" s="204"/>
      <c r="S27" s="204"/>
      <c r="T27" s="186"/>
      <c r="U27" s="75"/>
      <c r="V27" s="198" t="s">
        <v>212</v>
      </c>
      <c r="W27" s="164">
        <v>300</v>
      </c>
      <c r="X27" s="190"/>
      <c r="Y27" s="201" t="s">
        <v>52</v>
      </c>
      <c r="Z27" s="201"/>
      <c r="AA27" s="201"/>
      <c r="AB27" s="201"/>
      <c r="AC27" s="201"/>
      <c r="AD27" s="201"/>
      <c r="AE27" s="201"/>
      <c r="AF27" s="202">
        <f>SUM(AF28:AH35)</f>
        <v>0</v>
      </c>
      <c r="AG27" s="202"/>
      <c r="AH27" s="202"/>
      <c r="AI27" s="203">
        <f>SUM(AI28:AK35)</f>
        <v>0</v>
      </c>
      <c r="AJ27" s="203"/>
      <c r="AK27" s="203"/>
      <c r="AL27" s="78"/>
      <c r="AM27" s="78"/>
      <c r="AN27" s="78"/>
      <c r="AO27" s="79"/>
      <c r="AP27" s="58">
        <v>300</v>
      </c>
      <c r="AQ27" s="122">
        <f t="shared" si="0"/>
        <v>0</v>
      </c>
    </row>
    <row r="28" spans="2:43" s="58" customFormat="1" ht="18" customHeight="1">
      <c r="B28" s="250" t="s">
        <v>56</v>
      </c>
      <c r="C28" s="251"/>
      <c r="D28" s="251"/>
      <c r="E28" s="252"/>
      <c r="F28" s="258"/>
      <c r="G28" s="259"/>
      <c r="H28" s="259"/>
      <c r="I28" s="259"/>
      <c r="J28" s="259"/>
      <c r="K28" s="260"/>
      <c r="L28" s="77"/>
      <c r="M28" s="77"/>
      <c r="N28" s="77"/>
      <c r="O28" s="66"/>
      <c r="P28" s="70"/>
      <c r="Q28" s="257"/>
      <c r="R28" s="204"/>
      <c r="S28" s="204"/>
      <c r="T28" s="186"/>
      <c r="U28" s="75"/>
      <c r="V28" s="199"/>
      <c r="W28" s="186"/>
      <c r="X28" s="187"/>
      <c r="Y28" s="72"/>
      <c r="Z28" s="191" t="s">
        <v>624</v>
      </c>
      <c r="AA28" s="192"/>
      <c r="AB28" s="192"/>
      <c r="AC28" s="192"/>
      <c r="AD28" s="192"/>
      <c r="AE28" s="192"/>
      <c r="AF28" s="165"/>
      <c r="AG28" s="165"/>
      <c r="AH28" s="165"/>
      <c r="AI28" s="173"/>
      <c r="AJ28" s="173"/>
      <c r="AK28" s="173"/>
      <c r="AL28" s="37">
        <v>1</v>
      </c>
      <c r="AM28" s="37">
        <v>1</v>
      </c>
      <c r="AN28" s="37"/>
      <c r="AO28" s="68"/>
      <c r="AP28" s="58" t="s">
        <v>443</v>
      </c>
      <c r="AQ28" s="122">
        <f>AI28*24</f>
        <v>0</v>
      </c>
    </row>
    <row r="29" spans="2:43" s="58" customFormat="1" ht="18" customHeight="1">
      <c r="B29" s="253"/>
      <c r="C29" s="254"/>
      <c r="D29" s="254"/>
      <c r="E29" s="255"/>
      <c r="F29" s="261"/>
      <c r="G29" s="262"/>
      <c r="H29" s="262"/>
      <c r="I29" s="262"/>
      <c r="J29" s="262"/>
      <c r="K29" s="263"/>
      <c r="L29" s="77"/>
      <c r="M29" s="77"/>
      <c r="N29" s="77"/>
      <c r="O29" s="66"/>
      <c r="P29" s="80" t="s">
        <v>57</v>
      </c>
      <c r="Q29" s="234">
        <f>SUM(Q17:$T$28)</f>
        <v>0</v>
      </c>
      <c r="R29" s="235"/>
      <c r="S29" s="235"/>
      <c r="T29" s="236"/>
      <c r="U29" s="75"/>
      <c r="V29" s="199"/>
      <c r="W29" s="186"/>
      <c r="X29" s="187"/>
      <c r="Y29" s="72"/>
      <c r="Z29" s="191" t="s">
        <v>625</v>
      </c>
      <c r="AA29" s="192"/>
      <c r="AB29" s="192"/>
      <c r="AC29" s="192"/>
      <c r="AD29" s="192"/>
      <c r="AE29" s="192"/>
      <c r="AF29" s="165"/>
      <c r="AG29" s="165"/>
      <c r="AH29" s="165"/>
      <c r="AI29" s="173"/>
      <c r="AJ29" s="173"/>
      <c r="AK29" s="173"/>
      <c r="AL29" s="37">
        <v>1</v>
      </c>
      <c r="AM29" s="37">
        <v>1</v>
      </c>
      <c r="AN29" s="37"/>
      <c r="AO29" s="68"/>
      <c r="AP29" s="58" t="s">
        <v>444</v>
      </c>
      <c r="AQ29" s="122">
        <f t="shared" ref="AQ29:AQ55" si="1">AI29*24</f>
        <v>0</v>
      </c>
    </row>
    <row r="30" spans="2:43" s="58" customFormat="1" ht="18" customHeight="1">
      <c r="B30" s="250" t="s">
        <v>58</v>
      </c>
      <c r="C30" s="251"/>
      <c r="D30" s="251"/>
      <c r="E30" s="252"/>
      <c r="F30" s="335" t="str">
        <f>IF(P10&lt;&gt;"",IFERROR(VLOOKUP(F51,List!J2:K31,2,0),"-"),"")</f>
        <v/>
      </c>
      <c r="G30" s="336"/>
      <c r="H30" s="336"/>
      <c r="I30" s="336"/>
      <c r="J30" s="336"/>
      <c r="K30" s="337"/>
      <c r="L30" s="77"/>
      <c r="M30" s="77"/>
      <c r="N30" s="77"/>
      <c r="O30" s="66"/>
      <c r="P30" s="81"/>
      <c r="Q30" s="81"/>
      <c r="R30" s="81"/>
      <c r="S30" s="81"/>
      <c r="T30" s="81"/>
      <c r="U30" s="75"/>
      <c r="V30" s="199"/>
      <c r="W30" s="186"/>
      <c r="X30" s="187"/>
      <c r="Y30" s="72"/>
      <c r="Z30" s="191" t="s">
        <v>626</v>
      </c>
      <c r="AA30" s="192"/>
      <c r="AB30" s="192"/>
      <c r="AC30" s="192"/>
      <c r="AD30" s="192"/>
      <c r="AE30" s="192"/>
      <c r="AF30" s="165"/>
      <c r="AG30" s="165"/>
      <c r="AH30" s="165"/>
      <c r="AI30" s="173"/>
      <c r="AJ30" s="173"/>
      <c r="AK30" s="173"/>
      <c r="AL30" s="37">
        <v>1</v>
      </c>
      <c r="AM30" s="37">
        <v>1</v>
      </c>
      <c r="AN30" s="37"/>
      <c r="AO30" s="68"/>
      <c r="AP30" s="58" t="s">
        <v>445</v>
      </c>
      <c r="AQ30" s="122">
        <f t="shared" si="1"/>
        <v>0</v>
      </c>
    </row>
    <row r="31" spans="2:43" s="58" customFormat="1" ht="18" customHeight="1">
      <c r="B31" s="253"/>
      <c r="C31" s="254"/>
      <c r="D31" s="254"/>
      <c r="E31" s="255"/>
      <c r="F31" s="338"/>
      <c r="G31" s="339"/>
      <c r="H31" s="339"/>
      <c r="I31" s="339"/>
      <c r="J31" s="339"/>
      <c r="K31" s="340"/>
      <c r="L31" s="77"/>
      <c r="M31" s="77"/>
      <c r="N31" s="77"/>
      <c r="O31" s="66"/>
      <c r="P31" s="81"/>
      <c r="Q31" s="81"/>
      <c r="R31" s="81"/>
      <c r="S31" s="81"/>
      <c r="T31" s="81"/>
      <c r="U31" s="75"/>
      <c r="V31" s="199"/>
      <c r="W31" s="186"/>
      <c r="X31" s="187"/>
      <c r="Y31" s="72"/>
      <c r="Z31" s="191" t="s">
        <v>627</v>
      </c>
      <c r="AA31" s="192"/>
      <c r="AB31" s="192"/>
      <c r="AC31" s="192"/>
      <c r="AD31" s="192"/>
      <c r="AE31" s="192"/>
      <c r="AF31" s="165"/>
      <c r="AG31" s="165"/>
      <c r="AH31" s="165"/>
      <c r="AI31" s="173"/>
      <c r="AJ31" s="173"/>
      <c r="AK31" s="173"/>
      <c r="AL31" s="37">
        <v>1</v>
      </c>
      <c r="AM31" s="37">
        <v>0</v>
      </c>
      <c r="AN31" s="37"/>
      <c r="AO31" s="68"/>
      <c r="AP31" s="58" t="s">
        <v>446</v>
      </c>
      <c r="AQ31" s="122">
        <f t="shared" si="1"/>
        <v>0</v>
      </c>
    </row>
    <row r="32" spans="2:43" s="58" customFormat="1" ht="18" customHeight="1">
      <c r="J32" s="77"/>
      <c r="K32" s="77"/>
      <c r="L32" s="77"/>
      <c r="M32" s="77"/>
      <c r="N32" s="77"/>
      <c r="O32" s="66"/>
      <c r="P32" s="81"/>
      <c r="Q32" s="81"/>
      <c r="R32" s="81"/>
      <c r="S32" s="81"/>
      <c r="T32" s="81"/>
      <c r="U32" s="75"/>
      <c r="V32" s="199"/>
      <c r="W32" s="186"/>
      <c r="X32" s="187"/>
      <c r="Y32" s="72"/>
      <c r="Z32" s="191" t="s">
        <v>623</v>
      </c>
      <c r="AA32" s="192"/>
      <c r="AB32" s="192"/>
      <c r="AC32" s="192"/>
      <c r="AD32" s="192"/>
      <c r="AE32" s="192"/>
      <c r="AF32" s="165"/>
      <c r="AG32" s="165"/>
      <c r="AH32" s="165"/>
      <c r="AI32" s="173"/>
      <c r="AJ32" s="173"/>
      <c r="AK32" s="173"/>
      <c r="AL32" s="37">
        <v>1</v>
      </c>
      <c r="AM32" s="37">
        <v>1</v>
      </c>
      <c r="AN32" s="37"/>
      <c r="AO32" s="68"/>
      <c r="AP32" s="58" t="s">
        <v>447</v>
      </c>
      <c r="AQ32" s="122">
        <f t="shared" si="1"/>
        <v>0</v>
      </c>
    </row>
    <row r="33" spans="1:69" s="58" customFormat="1" ht="18" customHeight="1">
      <c r="B33" s="370" t="s">
        <v>205</v>
      </c>
      <c r="C33" s="370"/>
      <c r="D33" s="370"/>
      <c r="E33" s="370"/>
      <c r="F33" s="371" t="s">
        <v>958</v>
      </c>
      <c r="G33" s="371"/>
      <c r="H33" s="371"/>
      <c r="I33" s="371"/>
      <c r="J33" s="371"/>
      <c r="K33" s="371"/>
      <c r="L33" s="77"/>
      <c r="M33" s="77"/>
      <c r="N33" s="77"/>
      <c r="O33" s="66"/>
      <c r="P33" s="81"/>
      <c r="Q33" s="81"/>
      <c r="R33" s="81"/>
      <c r="S33" s="81"/>
      <c r="T33" s="81"/>
      <c r="U33" s="75"/>
      <c r="V33" s="199"/>
      <c r="W33" s="186"/>
      <c r="X33" s="187"/>
      <c r="Y33" s="72"/>
      <c r="Z33" s="191" t="s">
        <v>622</v>
      </c>
      <c r="AA33" s="192"/>
      <c r="AB33" s="192"/>
      <c r="AC33" s="192"/>
      <c r="AD33" s="192"/>
      <c r="AE33" s="192"/>
      <c r="AF33" s="165"/>
      <c r="AG33" s="165"/>
      <c r="AH33" s="165"/>
      <c r="AI33" s="173"/>
      <c r="AJ33" s="173"/>
      <c r="AK33" s="173"/>
      <c r="AL33" s="37">
        <v>1</v>
      </c>
      <c r="AM33" s="37">
        <v>1</v>
      </c>
      <c r="AN33" s="37"/>
      <c r="AO33" s="68"/>
      <c r="AP33" s="58" t="s">
        <v>448</v>
      </c>
      <c r="AQ33" s="122">
        <f t="shared" si="1"/>
        <v>0</v>
      </c>
    </row>
    <row r="34" spans="1:69" s="58" customFormat="1" ht="18" customHeight="1">
      <c r="B34" s="370" t="s">
        <v>206</v>
      </c>
      <c r="C34" s="370"/>
      <c r="D34" s="370"/>
      <c r="E34" s="370"/>
      <c r="F34" s="371" t="s">
        <v>883</v>
      </c>
      <c r="G34" s="371"/>
      <c r="H34" s="371"/>
      <c r="I34" s="371"/>
      <c r="J34" s="371"/>
      <c r="K34" s="371"/>
      <c r="L34" s="77"/>
      <c r="M34" s="77"/>
      <c r="N34" s="77"/>
      <c r="O34" s="66"/>
      <c r="P34" s="81"/>
      <c r="Q34" s="81"/>
      <c r="R34" s="81"/>
      <c r="S34" s="81"/>
      <c r="T34" s="81"/>
      <c r="U34" s="75"/>
      <c r="V34" s="199"/>
      <c r="W34" s="186"/>
      <c r="X34" s="187"/>
      <c r="Y34" s="72"/>
      <c r="Z34" s="191" t="s">
        <v>621</v>
      </c>
      <c r="AA34" s="192"/>
      <c r="AB34" s="192"/>
      <c r="AC34" s="192" t="s">
        <v>323</v>
      </c>
      <c r="AD34" s="192"/>
      <c r="AE34" s="192"/>
      <c r="AF34" s="165"/>
      <c r="AG34" s="165"/>
      <c r="AH34" s="165"/>
      <c r="AI34" s="173"/>
      <c r="AJ34" s="173"/>
      <c r="AK34" s="173"/>
      <c r="AL34" s="37">
        <v>1</v>
      </c>
      <c r="AM34" s="37"/>
      <c r="AN34" s="37"/>
      <c r="AO34" s="68"/>
      <c r="AP34" s="58" t="s">
        <v>449</v>
      </c>
      <c r="AQ34" s="122">
        <f t="shared" si="1"/>
        <v>0</v>
      </c>
    </row>
    <row r="35" spans="1:69" s="58" customFormat="1" ht="18" customHeight="1">
      <c r="J35" s="77"/>
      <c r="K35" s="77"/>
      <c r="L35" s="77"/>
      <c r="M35" s="77"/>
      <c r="N35" s="77"/>
      <c r="O35" s="66"/>
      <c r="P35" s="81"/>
      <c r="Q35" s="81"/>
      <c r="R35" s="81"/>
      <c r="S35" s="81"/>
      <c r="T35" s="81"/>
      <c r="U35" s="75"/>
      <c r="V35" s="199"/>
      <c r="W35" s="186"/>
      <c r="X35" s="187"/>
      <c r="Y35" s="72"/>
      <c r="Z35" s="191" t="s">
        <v>620</v>
      </c>
      <c r="AA35" s="192" t="s">
        <v>324</v>
      </c>
      <c r="AB35" s="192"/>
      <c r="AC35" s="192"/>
      <c r="AD35" s="192"/>
      <c r="AE35" s="192"/>
      <c r="AF35" s="165"/>
      <c r="AG35" s="165"/>
      <c r="AH35" s="165"/>
      <c r="AI35" s="173"/>
      <c r="AJ35" s="173"/>
      <c r="AK35" s="173"/>
      <c r="AL35" s="37">
        <v>1</v>
      </c>
      <c r="AM35" s="37">
        <v>1</v>
      </c>
      <c r="AN35" s="37"/>
      <c r="AO35" s="68"/>
      <c r="AP35" s="58" t="s">
        <v>450</v>
      </c>
      <c r="AQ35" s="122">
        <f t="shared" si="1"/>
        <v>0</v>
      </c>
    </row>
    <row r="36" spans="1:69" s="58" customFormat="1" ht="18" customHeight="1"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66"/>
      <c r="O36" s="66"/>
      <c r="P36" s="81"/>
      <c r="Q36" s="81"/>
      <c r="R36" s="81"/>
      <c r="S36" s="81"/>
      <c r="T36"/>
      <c r="U36" s="66"/>
      <c r="V36" s="199"/>
      <c r="W36" s="204">
        <v>303</v>
      </c>
      <c r="X36" s="186"/>
      <c r="Y36" s="72" t="s">
        <v>53</v>
      </c>
      <c r="Z36" s="73"/>
      <c r="AA36" s="73"/>
      <c r="AB36" s="73"/>
      <c r="AC36" s="73"/>
      <c r="AD36" s="73"/>
      <c r="AE36" s="74"/>
      <c r="AF36" s="165"/>
      <c r="AG36" s="165"/>
      <c r="AH36" s="165"/>
      <c r="AI36" s="173"/>
      <c r="AJ36" s="173"/>
      <c r="AK36" s="173"/>
      <c r="AL36" s="39">
        <v>1</v>
      </c>
      <c r="AM36" s="40">
        <v>1</v>
      </c>
      <c r="AN36" s="40"/>
      <c r="AO36" s="82"/>
      <c r="AP36" s="58">
        <v>303</v>
      </c>
      <c r="AQ36" s="122">
        <f t="shared" si="1"/>
        <v>0</v>
      </c>
    </row>
    <row r="37" spans="1:69" s="58" customFormat="1" ht="18" customHeight="1">
      <c r="O37" s="66"/>
      <c r="T37"/>
      <c r="U37"/>
      <c r="V37" s="199"/>
      <c r="W37" s="204" t="s">
        <v>38</v>
      </c>
      <c r="X37" s="186"/>
      <c r="Y37" s="72" t="s">
        <v>39</v>
      </c>
      <c r="Z37" s="73"/>
      <c r="AA37" s="73"/>
      <c r="AB37" s="73"/>
      <c r="AC37" s="73"/>
      <c r="AD37" s="83"/>
      <c r="AE37" s="84"/>
      <c r="AF37" s="165"/>
      <c r="AG37" s="165"/>
      <c r="AH37" s="165"/>
      <c r="AI37" s="173"/>
      <c r="AJ37" s="173"/>
      <c r="AK37" s="173"/>
      <c r="AL37" s="36">
        <v>1</v>
      </c>
      <c r="AM37" s="37">
        <v>1</v>
      </c>
      <c r="AN37" s="37"/>
      <c r="AO37" s="68"/>
      <c r="AP37" s="58" t="s">
        <v>38</v>
      </c>
      <c r="AQ37" s="122">
        <f t="shared" si="1"/>
        <v>0</v>
      </c>
    </row>
    <row r="38" spans="1:69" s="58" customFormat="1" ht="18" customHeight="1">
      <c r="B38" s="234" t="s">
        <v>66</v>
      </c>
      <c r="C38" s="235"/>
      <c r="D38" s="235"/>
      <c r="E38" s="235"/>
      <c r="F38" s="235"/>
      <c r="G38" s="235"/>
      <c r="H38" s="235"/>
      <c r="I38" s="235"/>
      <c r="J38" s="235"/>
      <c r="K38" s="235"/>
      <c r="L38" s="235"/>
      <c r="M38" s="235"/>
      <c r="N38" s="236"/>
      <c r="T38"/>
      <c r="U38"/>
      <c r="V38" s="199"/>
      <c r="W38" s="204" t="s">
        <v>35</v>
      </c>
      <c r="X38" s="186"/>
      <c r="Y38" s="72" t="s">
        <v>36</v>
      </c>
      <c r="Z38" s="73"/>
      <c r="AA38" s="73"/>
      <c r="AB38" s="73"/>
      <c r="AC38" s="73"/>
      <c r="AD38" s="83"/>
      <c r="AE38" s="84"/>
      <c r="AF38" s="165"/>
      <c r="AG38" s="165"/>
      <c r="AH38" s="165"/>
      <c r="AI38" s="173"/>
      <c r="AJ38" s="173"/>
      <c r="AK38" s="173"/>
      <c r="AL38" s="36">
        <v>1</v>
      </c>
      <c r="AM38" s="37">
        <v>0</v>
      </c>
      <c r="AN38" s="37"/>
      <c r="AO38" s="68"/>
      <c r="AP38" s="58" t="s">
        <v>35</v>
      </c>
      <c r="AQ38" s="122">
        <f t="shared" si="1"/>
        <v>0</v>
      </c>
    </row>
    <row r="39" spans="1:69" s="58" customFormat="1" ht="22.5" customHeight="1">
      <c r="B39" s="234" t="s">
        <v>22</v>
      </c>
      <c r="C39" s="235"/>
      <c r="D39" s="235"/>
      <c r="E39" s="235"/>
      <c r="F39" s="235"/>
      <c r="G39" s="235"/>
      <c r="H39" s="235"/>
      <c r="I39" s="236"/>
      <c r="J39" s="234" t="s">
        <v>25</v>
      </c>
      <c r="K39" s="235"/>
      <c r="L39" s="235"/>
      <c r="M39" s="235"/>
      <c r="N39" s="236"/>
      <c r="T39"/>
      <c r="U39"/>
      <c r="V39" s="199"/>
      <c r="W39" s="205">
        <v>308</v>
      </c>
      <c r="X39" s="206"/>
      <c r="Y39" s="85" t="s">
        <v>55</v>
      </c>
      <c r="Z39" s="86"/>
      <c r="AA39" s="86"/>
      <c r="AB39" s="86"/>
      <c r="AC39" s="86"/>
      <c r="AD39" s="86"/>
      <c r="AE39" s="87"/>
      <c r="AF39" s="166">
        <f>SUM(AF40:AH48)</f>
        <v>0</v>
      </c>
      <c r="AG39" s="167"/>
      <c r="AH39" s="168"/>
      <c r="AI39" s="174">
        <f>SUM(AI40:AK48)</f>
        <v>0</v>
      </c>
      <c r="AJ39" s="174"/>
      <c r="AK39" s="174"/>
      <c r="AL39" s="88"/>
      <c r="AM39" s="89"/>
      <c r="AN39" s="89"/>
      <c r="AO39" s="90"/>
      <c r="AP39" s="58">
        <v>308</v>
      </c>
      <c r="AQ39" s="122">
        <f t="shared" si="1"/>
        <v>0</v>
      </c>
      <c r="AR39" s="91"/>
      <c r="AS39" s="91"/>
      <c r="AT39" s="91"/>
      <c r="AU39" s="91"/>
      <c r="AV39" s="91"/>
      <c r="AW39" s="91"/>
      <c r="AX39" s="91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1"/>
      <c r="BK39" s="91"/>
      <c r="BL39" s="91"/>
      <c r="BM39" s="91"/>
      <c r="BN39" s="91"/>
      <c r="BO39" s="91"/>
      <c r="BP39" s="91"/>
      <c r="BQ39" s="91"/>
    </row>
    <row r="40" spans="1:69" s="58" customFormat="1" ht="20.25" customHeight="1">
      <c r="B40" s="207" t="s">
        <v>69</v>
      </c>
      <c r="C40" s="208"/>
      <c r="D40" s="208"/>
      <c r="E40" s="208"/>
      <c r="F40" s="208"/>
      <c r="G40" s="208"/>
      <c r="H40" s="208"/>
      <c r="I40" s="209"/>
      <c r="J40" s="210"/>
      <c r="K40" s="211"/>
      <c r="L40" s="211"/>
      <c r="M40" s="211"/>
      <c r="N40" s="212"/>
      <c r="T40"/>
      <c r="U40"/>
      <c r="V40" s="199"/>
      <c r="W40" s="186"/>
      <c r="X40" s="187"/>
      <c r="Y40" s="72"/>
      <c r="Z40" s="191" t="s">
        <v>609</v>
      </c>
      <c r="AA40" s="192"/>
      <c r="AB40" s="192"/>
      <c r="AC40" s="192"/>
      <c r="AD40" s="192"/>
      <c r="AE40" s="192"/>
      <c r="AF40" s="165"/>
      <c r="AG40" s="165"/>
      <c r="AH40" s="165"/>
      <c r="AI40" s="173"/>
      <c r="AJ40" s="173"/>
      <c r="AK40" s="173"/>
      <c r="AL40" s="37">
        <v>1</v>
      </c>
      <c r="AM40" s="37">
        <v>1</v>
      </c>
      <c r="AN40" s="37"/>
      <c r="AO40" s="68"/>
      <c r="AP40" s="58" t="s">
        <v>54</v>
      </c>
      <c r="AQ40" s="122">
        <f t="shared" si="1"/>
        <v>0</v>
      </c>
      <c r="AR40" s="91"/>
      <c r="AS40" s="91"/>
      <c r="AT40" s="91"/>
      <c r="AU40" s="91"/>
      <c r="AV40" s="91"/>
      <c r="AW40" s="91"/>
      <c r="AX40" s="91"/>
      <c r="AY40" s="91"/>
      <c r="AZ40" s="91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1"/>
      <c r="BL40" s="91"/>
      <c r="BM40" s="91"/>
      <c r="BN40" s="91"/>
      <c r="BO40" s="91"/>
      <c r="BP40" s="91"/>
      <c r="BQ40" s="91"/>
    </row>
    <row r="41" spans="1:69" s="58" customFormat="1" ht="20.25" customHeight="1">
      <c r="B41" s="207" t="s">
        <v>71</v>
      </c>
      <c r="C41" s="208"/>
      <c r="D41" s="208"/>
      <c r="E41" s="208"/>
      <c r="F41" s="208"/>
      <c r="G41" s="208"/>
      <c r="H41" s="208"/>
      <c r="I41" s="209"/>
      <c r="J41" s="210"/>
      <c r="K41" s="211"/>
      <c r="L41" s="211"/>
      <c r="M41" s="211"/>
      <c r="N41" s="212"/>
      <c r="U41"/>
      <c r="V41" s="199"/>
      <c r="W41" s="186"/>
      <c r="X41" s="187"/>
      <c r="Y41" s="72"/>
      <c r="Z41" s="191" t="s">
        <v>610</v>
      </c>
      <c r="AA41" s="192"/>
      <c r="AB41" s="192"/>
      <c r="AC41" s="192"/>
      <c r="AD41" s="192"/>
      <c r="AE41" s="192"/>
      <c r="AF41" s="165"/>
      <c r="AG41" s="165"/>
      <c r="AH41" s="165"/>
      <c r="AI41" s="173"/>
      <c r="AJ41" s="173"/>
      <c r="AK41" s="173"/>
      <c r="AL41" s="37">
        <v>1</v>
      </c>
      <c r="AM41" s="37">
        <v>1</v>
      </c>
      <c r="AN41" s="37"/>
      <c r="AO41" s="68"/>
      <c r="AP41" s="58" t="s">
        <v>451</v>
      </c>
      <c r="AQ41" s="122">
        <f t="shared" si="1"/>
        <v>0</v>
      </c>
      <c r="AR41"/>
      <c r="AS41" s="91"/>
      <c r="AT41" s="91"/>
      <c r="AU41" s="91"/>
      <c r="AV41" s="91"/>
      <c r="AW41" s="91"/>
      <c r="AX41" s="91"/>
      <c r="AY41" s="91"/>
      <c r="AZ41" s="91"/>
      <c r="BA41" s="91"/>
      <c r="BB41" s="91"/>
      <c r="BC41" s="91"/>
      <c r="BD41" s="91"/>
      <c r="BE41" s="91"/>
      <c r="BF41" s="91"/>
      <c r="BG41" s="91"/>
      <c r="BH41" s="91"/>
      <c r="BI41" s="91"/>
      <c r="BJ41" s="91"/>
      <c r="BK41" s="91"/>
      <c r="BL41" s="91"/>
      <c r="BM41" s="91"/>
      <c r="BN41" s="91"/>
      <c r="BO41" s="91"/>
      <c r="BP41" s="91"/>
      <c r="BQ41" s="91"/>
    </row>
    <row r="42" spans="1:69" s="58" customFormat="1" ht="20.25" customHeight="1">
      <c r="A42" s="43"/>
      <c r="B42" s="207" t="s">
        <v>73</v>
      </c>
      <c r="C42" s="208"/>
      <c r="D42" s="208"/>
      <c r="E42" s="208"/>
      <c r="F42" s="208"/>
      <c r="G42" s="208"/>
      <c r="H42" s="208"/>
      <c r="I42" s="209"/>
      <c r="J42" s="210"/>
      <c r="K42" s="211"/>
      <c r="L42" s="211"/>
      <c r="M42" s="211"/>
      <c r="N42" s="212"/>
      <c r="U42"/>
      <c r="V42" s="199"/>
      <c r="W42" s="186"/>
      <c r="X42" s="187"/>
      <c r="Y42" s="72"/>
      <c r="Z42" s="191" t="s">
        <v>611</v>
      </c>
      <c r="AA42" s="192"/>
      <c r="AB42" s="192"/>
      <c r="AC42" s="192"/>
      <c r="AD42" s="192"/>
      <c r="AE42" s="192"/>
      <c r="AF42" s="165"/>
      <c r="AG42" s="165"/>
      <c r="AH42" s="165"/>
      <c r="AI42" s="173"/>
      <c r="AJ42" s="173"/>
      <c r="AK42" s="173"/>
      <c r="AL42" s="37">
        <v>1</v>
      </c>
      <c r="AM42" s="37">
        <v>1</v>
      </c>
      <c r="AN42" s="37"/>
      <c r="AO42" s="68"/>
      <c r="AP42" s="58" t="s">
        <v>452</v>
      </c>
      <c r="AQ42" s="122">
        <f t="shared" si="1"/>
        <v>0</v>
      </c>
      <c r="AR42"/>
    </row>
    <row r="43" spans="1:69" s="58" customFormat="1" ht="20.25" customHeight="1">
      <c r="A43" s="43"/>
      <c r="B43" s="92"/>
      <c r="C43" s="92"/>
      <c r="D43" s="92"/>
      <c r="E43" s="92"/>
      <c r="F43" s="92"/>
      <c r="G43" s="92"/>
      <c r="H43" s="92"/>
      <c r="I43" s="92"/>
      <c r="J43" s="93"/>
      <c r="K43" s="93"/>
      <c r="L43" s="93"/>
      <c r="M43" s="93"/>
      <c r="N43" s="93"/>
      <c r="U43"/>
      <c r="V43" s="199"/>
      <c r="W43" s="186"/>
      <c r="X43" s="187"/>
      <c r="Y43" s="72"/>
      <c r="Z43" s="191" t="s">
        <v>612</v>
      </c>
      <c r="AA43" s="192"/>
      <c r="AB43" s="192"/>
      <c r="AC43" s="192"/>
      <c r="AD43" s="192"/>
      <c r="AE43" s="192"/>
      <c r="AF43" s="165"/>
      <c r="AG43" s="165"/>
      <c r="AH43" s="165"/>
      <c r="AI43" s="173"/>
      <c r="AJ43" s="173"/>
      <c r="AK43" s="173"/>
      <c r="AL43" s="37">
        <v>1</v>
      </c>
      <c r="AM43" s="37">
        <v>1</v>
      </c>
      <c r="AN43" s="37"/>
      <c r="AO43" s="68"/>
      <c r="AP43" s="58" t="s">
        <v>453</v>
      </c>
      <c r="AQ43" s="122" t="e">
        <f>#REF!*24</f>
        <v>#REF!</v>
      </c>
      <c r="AR43"/>
    </row>
    <row r="44" spans="1:69" s="58" customFormat="1" ht="20.25" customHeight="1">
      <c r="A44" s="43"/>
      <c r="U44"/>
      <c r="V44" s="199"/>
      <c r="W44" s="186"/>
      <c r="X44" s="187"/>
      <c r="Y44" s="72"/>
      <c r="Z44" s="191" t="s">
        <v>613</v>
      </c>
      <c r="AA44" s="192"/>
      <c r="AB44" s="192"/>
      <c r="AC44" s="192"/>
      <c r="AD44" s="192"/>
      <c r="AE44" s="192"/>
      <c r="AF44" s="165"/>
      <c r="AG44" s="165"/>
      <c r="AH44" s="165"/>
      <c r="AI44" s="127"/>
      <c r="AJ44" s="127"/>
      <c r="AK44" s="115"/>
      <c r="AL44" s="37">
        <v>1</v>
      </c>
      <c r="AM44" s="37">
        <v>1</v>
      </c>
      <c r="AN44" s="37"/>
      <c r="AO44" s="68"/>
      <c r="AP44" s="58" t="s">
        <v>454</v>
      </c>
      <c r="AQ44" s="122">
        <f>AI43*24</f>
        <v>0</v>
      </c>
      <c r="AR44"/>
    </row>
    <row r="45" spans="1:69" s="58" customFormat="1" ht="20.25" customHeight="1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O45" s="43"/>
      <c r="U45"/>
      <c r="V45" s="199"/>
      <c r="W45" s="186"/>
      <c r="X45" s="187"/>
      <c r="Y45" s="72"/>
      <c r="Z45" s="191" t="s">
        <v>614</v>
      </c>
      <c r="AA45" s="192"/>
      <c r="AB45" s="192"/>
      <c r="AC45" s="192"/>
      <c r="AD45" s="192"/>
      <c r="AE45" s="192"/>
      <c r="AF45" s="165"/>
      <c r="AG45" s="165"/>
      <c r="AH45" s="165"/>
      <c r="AI45" s="173"/>
      <c r="AJ45" s="173"/>
      <c r="AK45" s="173"/>
      <c r="AL45" s="37">
        <v>1</v>
      </c>
      <c r="AM45" s="37">
        <v>1</v>
      </c>
      <c r="AN45" s="37"/>
      <c r="AO45" s="68"/>
      <c r="AP45" s="58" t="s">
        <v>455</v>
      </c>
      <c r="AQ45" s="122">
        <f t="shared" si="1"/>
        <v>0</v>
      </c>
      <c r="AR45"/>
    </row>
    <row r="46" spans="1:69" s="58" customFormat="1" ht="19.5" customHeight="1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S46" s="43"/>
      <c r="T46" s="43"/>
      <c r="U46"/>
      <c r="V46" s="199"/>
      <c r="W46" s="186"/>
      <c r="X46" s="187"/>
      <c r="Y46" s="72"/>
      <c r="Z46" s="191" t="s">
        <v>615</v>
      </c>
      <c r="AA46" s="192"/>
      <c r="AB46" s="192"/>
      <c r="AC46" s="192"/>
      <c r="AD46" s="192"/>
      <c r="AE46" s="192"/>
      <c r="AF46" s="165"/>
      <c r="AG46" s="165"/>
      <c r="AH46" s="165"/>
      <c r="AI46" s="173"/>
      <c r="AJ46" s="173"/>
      <c r="AK46" s="173"/>
      <c r="AL46" s="37">
        <v>1</v>
      </c>
      <c r="AM46" s="37">
        <v>1</v>
      </c>
      <c r="AN46" s="37"/>
      <c r="AO46" s="68"/>
      <c r="AP46" s="58" t="s">
        <v>456</v>
      </c>
      <c r="AQ46" s="122">
        <f t="shared" si="1"/>
        <v>0</v>
      </c>
      <c r="AR46"/>
    </row>
    <row r="47" spans="1:69" s="58" customFormat="1" ht="19.5" customHeight="1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/>
      <c r="V47" s="199"/>
      <c r="W47" s="186"/>
      <c r="X47" s="187"/>
      <c r="Y47" s="72"/>
      <c r="Z47" s="191" t="s">
        <v>616</v>
      </c>
      <c r="AA47" s="192"/>
      <c r="AB47" s="192"/>
      <c r="AC47" s="192"/>
      <c r="AD47" s="192"/>
      <c r="AE47" s="192"/>
      <c r="AF47" s="127"/>
      <c r="AG47" s="156"/>
      <c r="AH47" s="127"/>
      <c r="AI47" s="173"/>
      <c r="AJ47" s="173"/>
      <c r="AK47" s="173"/>
      <c r="AL47" s="37">
        <v>1</v>
      </c>
      <c r="AM47" s="37">
        <v>0</v>
      </c>
      <c r="AN47" s="37"/>
      <c r="AO47" s="68"/>
      <c r="AP47" s="58" t="s">
        <v>457</v>
      </c>
      <c r="AQ47" s="122">
        <f t="shared" si="1"/>
        <v>0</v>
      </c>
      <c r="AR47"/>
    </row>
    <row r="48" spans="1:69" s="58" customFormat="1" ht="19.5" customHeight="1" thickBot="1">
      <c r="A48" s="43"/>
      <c r="B48" s="43"/>
      <c r="C48" s="43" t="s">
        <v>214</v>
      </c>
      <c r="D48" s="43"/>
      <c r="E48" s="43"/>
      <c r="F48" s="33" t="str">
        <f>IF(P10&lt;&gt;"",VALUE(VLOOKUP(LEFT(P10,6),List!$G$2:$H$14,2,0))*Input!W10,"")</f>
        <v/>
      </c>
      <c r="G48" s="41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/>
      <c r="V48" s="200"/>
      <c r="W48" s="188"/>
      <c r="X48" s="189"/>
      <c r="Y48" s="76"/>
      <c r="Z48" s="196" t="s">
        <v>617</v>
      </c>
      <c r="AA48" s="197"/>
      <c r="AB48" s="197"/>
      <c r="AC48" s="197"/>
      <c r="AD48" s="197"/>
      <c r="AE48" s="197"/>
      <c r="AF48" s="171"/>
      <c r="AG48" s="171"/>
      <c r="AH48" s="171"/>
      <c r="AI48" s="172"/>
      <c r="AJ48" s="172"/>
      <c r="AK48" s="172"/>
      <c r="AL48" s="38">
        <v>1</v>
      </c>
      <c r="AM48" s="38">
        <v>0</v>
      </c>
      <c r="AN48" s="38"/>
      <c r="AO48" s="71"/>
      <c r="AP48" s="58" t="s">
        <v>458</v>
      </c>
      <c r="AQ48" s="122">
        <f t="shared" si="1"/>
        <v>0</v>
      </c>
      <c r="AR48"/>
    </row>
    <row r="49" spans="1:43" s="58" customFormat="1" ht="19.5" customHeight="1">
      <c r="A49" s="43"/>
      <c r="B49" s="43"/>
      <c r="C49" s="43" t="s">
        <v>56</v>
      </c>
      <c r="D49" s="43"/>
      <c r="E49" s="43"/>
      <c r="F49" s="34" t="str">
        <f>IF(G49=1, "AX300i","A200")</f>
        <v>A200</v>
      </c>
      <c r="G49" s="41">
        <v>2</v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177" t="s">
        <v>213</v>
      </c>
      <c r="W49" s="164">
        <v>307</v>
      </c>
      <c r="X49" s="190"/>
      <c r="Y49" s="193" t="s">
        <v>60</v>
      </c>
      <c r="Z49" s="194"/>
      <c r="AA49" s="194"/>
      <c r="AB49" s="194"/>
      <c r="AC49" s="194"/>
      <c r="AD49" s="194"/>
      <c r="AE49" s="195"/>
      <c r="AF49" s="176"/>
      <c r="AG49" s="176"/>
      <c r="AH49" s="176"/>
      <c r="AI49" s="175"/>
      <c r="AJ49" s="175"/>
      <c r="AK49" s="175"/>
      <c r="AL49" s="95"/>
      <c r="AM49" s="95"/>
      <c r="AN49" s="95"/>
      <c r="AO49" s="96"/>
      <c r="AP49" s="58">
        <v>307</v>
      </c>
      <c r="AQ49" s="122">
        <f t="shared" si="1"/>
        <v>0</v>
      </c>
    </row>
    <row r="50" spans="1:43" ht="19.5" customHeight="1">
      <c r="C50" s="43" t="s">
        <v>217</v>
      </c>
      <c r="F50" s="34">
        <f>IF(F6="Hàng sản xuất",1,0)</f>
        <v>0</v>
      </c>
      <c r="G50" s="41"/>
      <c r="V50" s="178"/>
      <c r="W50" s="186"/>
      <c r="X50" s="187"/>
      <c r="Y50" s="72"/>
      <c r="Z50" s="191" t="s">
        <v>618</v>
      </c>
      <c r="AA50" s="192"/>
      <c r="AB50" s="192"/>
      <c r="AC50" s="192"/>
      <c r="AD50" s="192"/>
      <c r="AE50" s="192"/>
      <c r="AF50" s="169"/>
      <c r="AG50" s="169"/>
      <c r="AH50" s="169"/>
      <c r="AI50" s="170"/>
      <c r="AJ50" s="170"/>
      <c r="AK50" s="170"/>
      <c r="AL50" s="42">
        <v>1</v>
      </c>
      <c r="AM50" s="42"/>
      <c r="AN50" s="42"/>
      <c r="AO50" s="97"/>
      <c r="AP50" s="58" t="s">
        <v>459</v>
      </c>
      <c r="AQ50" s="122">
        <f t="shared" si="1"/>
        <v>0</v>
      </c>
    </row>
    <row r="51" spans="1:43" ht="19.5" customHeight="1">
      <c r="C51" s="43" t="s">
        <v>288</v>
      </c>
      <c r="F51" s="34" t="str">
        <f>IF(P10&lt;&gt;"",RIGHT(LEFT(P10,(FIND("-",P10,1)-1)),LEN(LEFT(P10,(FIND("-",P10,1)-1)))-6),"")</f>
        <v/>
      </c>
      <c r="G51" s="41"/>
      <c r="V51" s="178"/>
      <c r="W51" s="186"/>
      <c r="X51" s="187"/>
      <c r="Y51" s="72"/>
      <c r="Z51" s="191" t="s">
        <v>619</v>
      </c>
      <c r="AA51" s="192"/>
      <c r="AB51" s="192"/>
      <c r="AC51" s="192"/>
      <c r="AD51" s="192"/>
      <c r="AE51" s="192"/>
      <c r="AF51" s="169"/>
      <c r="AG51" s="169"/>
      <c r="AH51" s="169"/>
      <c r="AI51" s="170"/>
      <c r="AJ51" s="170"/>
      <c r="AK51" s="170"/>
      <c r="AL51" s="42">
        <v>1</v>
      </c>
      <c r="AM51" s="42">
        <v>1</v>
      </c>
      <c r="AN51" s="42"/>
      <c r="AO51" s="97"/>
      <c r="AP51" s="58" t="s">
        <v>460</v>
      </c>
      <c r="AQ51" s="122">
        <f t="shared" si="1"/>
        <v>0</v>
      </c>
    </row>
    <row r="52" spans="1:43" ht="19.5" customHeight="1">
      <c r="C52" s="43" t="s">
        <v>328</v>
      </c>
      <c r="F52" s="94">
        <f>IF(AND(V6&gt;90%*AK10,V6&lt;110%*AK10),1,0)</f>
        <v>0</v>
      </c>
      <c r="V52" s="178"/>
      <c r="W52" s="186" t="s">
        <v>61</v>
      </c>
      <c r="X52" s="187"/>
      <c r="Y52" s="180" t="s">
        <v>116</v>
      </c>
      <c r="Z52" s="181"/>
      <c r="AA52" s="181"/>
      <c r="AB52" s="181"/>
      <c r="AC52" s="181"/>
      <c r="AD52" s="181"/>
      <c r="AE52" s="182"/>
      <c r="AF52" s="169"/>
      <c r="AG52" s="169"/>
      <c r="AH52" s="169"/>
      <c r="AI52" s="170"/>
      <c r="AJ52" s="170"/>
      <c r="AK52" s="170"/>
      <c r="AL52" s="42">
        <v>1</v>
      </c>
      <c r="AM52" s="42">
        <v>1</v>
      </c>
      <c r="AN52" s="42"/>
      <c r="AO52" s="97"/>
      <c r="AP52" s="58" t="s">
        <v>61</v>
      </c>
      <c r="AQ52" s="122">
        <f t="shared" si="1"/>
        <v>0</v>
      </c>
    </row>
    <row r="53" spans="1:43" ht="19.5" customHeight="1">
      <c r="A53" s="98"/>
      <c r="C53" s="43" t="s">
        <v>329</v>
      </c>
      <c r="F53" s="94">
        <f>IF(AA6&gt;=7.2,1,0)</f>
        <v>0</v>
      </c>
      <c r="V53" s="178"/>
      <c r="W53" s="186" t="s">
        <v>62</v>
      </c>
      <c r="X53" s="187"/>
      <c r="Y53" s="180" t="s">
        <v>63</v>
      </c>
      <c r="Z53" s="181"/>
      <c r="AA53" s="181"/>
      <c r="AB53" s="181"/>
      <c r="AC53" s="181"/>
      <c r="AD53" s="181"/>
      <c r="AE53" s="182"/>
      <c r="AF53" s="169"/>
      <c r="AG53" s="169"/>
      <c r="AH53" s="169"/>
      <c r="AI53" s="170"/>
      <c r="AJ53" s="170"/>
      <c r="AK53" s="170"/>
      <c r="AL53" s="42">
        <v>1</v>
      </c>
      <c r="AM53" s="42">
        <v>1</v>
      </c>
      <c r="AN53" s="42"/>
      <c r="AO53" s="97"/>
      <c r="AP53" s="58" t="s">
        <v>62</v>
      </c>
      <c r="AQ53" s="122">
        <f t="shared" si="1"/>
        <v>0</v>
      </c>
    </row>
    <row r="54" spans="1:43" ht="19.5" customHeight="1">
      <c r="C54" s="43" t="s">
        <v>463</v>
      </c>
      <c r="F54" s="43" t="str">
        <f>IF(P10&lt;&gt;"",VALUE(VLOOKUP(LEFT(P10,6),List!$G$2:$H$14,2,0))*V10,"")</f>
        <v/>
      </c>
      <c r="V54" s="178"/>
      <c r="W54" s="186" t="s">
        <v>326</v>
      </c>
      <c r="X54" s="187"/>
      <c r="Y54" s="180" t="s">
        <v>325</v>
      </c>
      <c r="Z54" s="181"/>
      <c r="AA54" s="181"/>
      <c r="AB54" s="181"/>
      <c r="AC54" s="181"/>
      <c r="AD54" s="181"/>
      <c r="AE54" s="182"/>
      <c r="AF54" s="169"/>
      <c r="AG54" s="169"/>
      <c r="AH54" s="169"/>
      <c r="AI54" s="170"/>
      <c r="AJ54" s="170"/>
      <c r="AK54" s="170"/>
      <c r="AL54" s="42">
        <v>1</v>
      </c>
      <c r="AM54" s="42">
        <v>1</v>
      </c>
      <c r="AN54" s="42"/>
      <c r="AO54" s="97"/>
      <c r="AP54" s="58" t="s">
        <v>326</v>
      </c>
      <c r="AQ54" s="122">
        <f t="shared" si="1"/>
        <v>0</v>
      </c>
    </row>
    <row r="55" spans="1:43" ht="19.5" customHeight="1" thickBot="1">
      <c r="A55" s="98"/>
      <c r="V55" s="179"/>
      <c r="W55" s="188">
        <v>999</v>
      </c>
      <c r="X55" s="189"/>
      <c r="Y55" s="183" t="s">
        <v>327</v>
      </c>
      <c r="Z55" s="184"/>
      <c r="AA55" s="184"/>
      <c r="AB55" s="184"/>
      <c r="AC55" s="184"/>
      <c r="AD55" s="184"/>
      <c r="AE55" s="185"/>
      <c r="AF55" s="171"/>
      <c r="AG55" s="171"/>
      <c r="AH55" s="171"/>
      <c r="AI55" s="172"/>
      <c r="AJ55" s="172"/>
      <c r="AK55" s="172"/>
      <c r="AL55" s="38">
        <v>1</v>
      </c>
      <c r="AM55" s="38">
        <v>1</v>
      </c>
      <c r="AN55" s="38"/>
      <c r="AO55" s="71"/>
      <c r="AP55" s="58">
        <v>999</v>
      </c>
      <c r="AQ55" s="122">
        <f t="shared" si="1"/>
        <v>0</v>
      </c>
    </row>
    <row r="56" spans="1:43" ht="15">
      <c r="A56" s="98"/>
      <c r="V56"/>
      <c r="W56" s="99"/>
      <c r="X56" s="66"/>
      <c r="Y56" s="58"/>
      <c r="Z56" s="58"/>
      <c r="AA56" s="58"/>
      <c r="AB56" s="58"/>
      <c r="AC56" s="58"/>
      <c r="AD56" s="58"/>
      <c r="AE56" s="58"/>
      <c r="AF56" s="162" t="s">
        <v>57</v>
      </c>
      <c r="AG56" s="163"/>
      <c r="AH56" s="163"/>
      <c r="AI56" s="163"/>
      <c r="AJ56" s="163"/>
      <c r="AK56" s="164"/>
      <c r="AL56" s="100">
        <f>HOUR(SUMPRODUCT($AI$15:$AI$55,AL15:AL55))+MINUTE(SUMPRODUCT($AI$15:$AI$55,AL15:AL55))/60</f>
        <v>0</v>
      </c>
      <c r="AM56" s="100">
        <f t="shared" ref="AM56:AN56" si="2">HOUR(SUMPRODUCT($AI$15:$AI$55,AM15:AM55))+MINUTE(SUMPRODUCT($AI$15:$AI$55,AM15:AM55))/60</f>
        <v>0</v>
      </c>
      <c r="AN56" s="100">
        <f t="shared" si="2"/>
        <v>0</v>
      </c>
      <c r="AO56" s="66"/>
    </row>
    <row r="108" spans="16:41">
      <c r="P108" s="101" t="s">
        <v>67</v>
      </c>
      <c r="Q108" s="102"/>
      <c r="R108" s="102"/>
      <c r="S108" s="103"/>
      <c r="T108" s="102"/>
      <c r="U108" s="103"/>
      <c r="V108" s="103"/>
      <c r="W108" s="103"/>
      <c r="X108" s="103"/>
      <c r="Y108" s="103"/>
      <c r="Z108" s="103"/>
      <c r="AA108" s="103"/>
      <c r="AB108" s="103"/>
      <c r="AC108" s="103"/>
      <c r="AD108" s="103"/>
      <c r="AE108" s="103"/>
      <c r="AF108" s="103"/>
      <c r="AG108" s="103"/>
      <c r="AH108" s="103"/>
      <c r="AI108" s="103"/>
      <c r="AJ108" s="103"/>
      <c r="AK108" s="103"/>
      <c r="AL108" s="103"/>
      <c r="AM108" s="103"/>
      <c r="AN108" s="103"/>
      <c r="AO108" s="104"/>
    </row>
    <row r="109" spans="16:41">
      <c r="P109" s="105" t="s">
        <v>68</v>
      </c>
      <c r="Q109" s="58"/>
      <c r="R109" s="58"/>
      <c r="S109" s="66"/>
      <c r="T109" s="58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106"/>
    </row>
    <row r="110" spans="16:41">
      <c r="P110" s="107" t="s">
        <v>70</v>
      </c>
      <c r="Q110" s="108"/>
      <c r="R110" s="109"/>
      <c r="S110" s="110"/>
      <c r="T110" s="91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1"/>
    </row>
    <row r="111" spans="16:41">
      <c r="P111" s="112" t="s">
        <v>72</v>
      </c>
      <c r="Q111" s="108"/>
      <c r="R111" s="109"/>
      <c r="S111" s="110"/>
      <c r="T111" s="91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1"/>
    </row>
    <row r="112" spans="16:41">
      <c r="P112" s="107" t="s">
        <v>74</v>
      </c>
      <c r="Q112" s="108"/>
      <c r="R112" s="109"/>
      <c r="S112" s="110"/>
      <c r="T112" s="91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1"/>
    </row>
    <row r="113" spans="16:41">
      <c r="P113" s="107" t="s">
        <v>75</v>
      </c>
      <c r="Q113" s="108"/>
      <c r="R113" s="109"/>
      <c r="S113" s="110"/>
      <c r="T113" s="91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1"/>
    </row>
    <row r="114" spans="16:41">
      <c r="P114" s="213" t="s">
        <v>76</v>
      </c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5"/>
    </row>
    <row r="115" spans="16:41">
      <c r="P115" s="216" t="s">
        <v>77</v>
      </c>
      <c r="Q115" s="217"/>
      <c r="R115" s="217"/>
      <c r="S115" s="217"/>
      <c r="T115" s="217"/>
      <c r="U115" s="217"/>
      <c r="V115" s="217"/>
      <c r="W115" s="217"/>
      <c r="X115" s="217"/>
      <c r="Y115" s="217"/>
      <c r="Z115" s="217"/>
      <c r="AA115" s="217"/>
      <c r="AB115" s="217"/>
      <c r="AC115" s="217"/>
      <c r="AD115" s="217"/>
      <c r="AE115" s="217"/>
      <c r="AF115" s="217"/>
      <c r="AG115" s="217"/>
      <c r="AH115" s="217"/>
      <c r="AI115" s="217"/>
      <c r="AJ115" s="217"/>
      <c r="AK115" s="217"/>
      <c r="AL115" s="217"/>
      <c r="AM115" s="217"/>
      <c r="AN115" s="217"/>
      <c r="AO115" s="218"/>
    </row>
  </sheetData>
  <autoFilter ref="W14:AO56" xr:uid="{00000000-0001-0000-0000-000000000000}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2" showButton="0"/>
    <filterColumn colId="13" showButton="0"/>
  </autoFilter>
  <mergeCells count="267">
    <mergeCell ref="B33:E33"/>
    <mergeCell ref="B34:E34"/>
    <mergeCell ref="F33:K33"/>
    <mergeCell ref="F34:K34"/>
    <mergeCell ref="W5:Y5"/>
    <mergeCell ref="W6:Y7"/>
    <mergeCell ref="AA5:AC5"/>
    <mergeCell ref="AA6:AC7"/>
    <mergeCell ref="Y26:AE26"/>
    <mergeCell ref="P10:T10"/>
    <mergeCell ref="W10:X11"/>
    <mergeCell ref="Y10:Y11"/>
    <mergeCell ref="AE10:AG11"/>
    <mergeCell ref="B14:E14"/>
    <mergeCell ref="G14:I14"/>
    <mergeCell ref="J14:N14"/>
    <mergeCell ref="Q14:T14"/>
    <mergeCell ref="W14:X14"/>
    <mergeCell ref="Y14:AE14"/>
    <mergeCell ref="AF15:AH15"/>
    <mergeCell ref="B18:N18"/>
    <mergeCell ref="P18:T18"/>
    <mergeCell ref="W21:X21"/>
    <mergeCell ref="V15:V20"/>
    <mergeCell ref="D1:AO1"/>
    <mergeCell ref="B2:G2"/>
    <mergeCell ref="Q2:AJ3"/>
    <mergeCell ref="AL2:AO2"/>
    <mergeCell ref="B3:G3"/>
    <mergeCell ref="AL3:AO3"/>
    <mergeCell ref="F30:K31"/>
    <mergeCell ref="AI29:AK29"/>
    <mergeCell ref="AF29:AH29"/>
    <mergeCell ref="AF30:AH30"/>
    <mergeCell ref="AI5:AJ5"/>
    <mergeCell ref="AK5:AO5"/>
    <mergeCell ref="P6:R7"/>
    <mergeCell ref="T6:T7"/>
    <mergeCell ref="AE6:AG7"/>
    <mergeCell ref="AI6:AO7"/>
    <mergeCell ref="B5:E5"/>
    <mergeCell ref="L5:N5"/>
    <mergeCell ref="P5:R5"/>
    <mergeCell ref="AE5:AG5"/>
    <mergeCell ref="F5:J5"/>
    <mergeCell ref="AH9:AJ9"/>
    <mergeCell ref="AK9:AO9"/>
    <mergeCell ref="H10:N11"/>
    <mergeCell ref="AH10:AJ11"/>
    <mergeCell ref="AK10:AO11"/>
    <mergeCell ref="H9:N9"/>
    <mergeCell ref="P9:T9"/>
    <mergeCell ref="W9:Y9"/>
    <mergeCell ref="AA9:AB9"/>
    <mergeCell ref="AE9:AG9"/>
    <mergeCell ref="B13:N13"/>
    <mergeCell ref="P13:T13"/>
    <mergeCell ref="W13:AO13"/>
    <mergeCell ref="R11:T11"/>
    <mergeCell ref="P11:Q11"/>
    <mergeCell ref="V12:V13"/>
    <mergeCell ref="AI15:AK15"/>
    <mergeCell ref="W16:X16"/>
    <mergeCell ref="Y16:AE16"/>
    <mergeCell ref="AF16:AH16"/>
    <mergeCell ref="AI16:AK16"/>
    <mergeCell ref="AF14:AH14"/>
    <mergeCell ref="AI14:AK14"/>
    <mergeCell ref="AF19:AH19"/>
    <mergeCell ref="AF17:AH17"/>
    <mergeCell ref="AI17:AK17"/>
    <mergeCell ref="W18:X18"/>
    <mergeCell ref="Y18:AE18"/>
    <mergeCell ref="AF18:AH18"/>
    <mergeCell ref="AI18:AK18"/>
    <mergeCell ref="AI19:AK19"/>
    <mergeCell ref="W17:X17"/>
    <mergeCell ref="Y17:AE17"/>
    <mergeCell ref="Y20:AE20"/>
    <mergeCell ref="B19:I19"/>
    <mergeCell ref="J19:N19"/>
    <mergeCell ref="Q19:T19"/>
    <mergeCell ref="W19:X19"/>
    <mergeCell ref="Y19:AE19"/>
    <mergeCell ref="B15:E16"/>
    <mergeCell ref="F15:F16"/>
    <mergeCell ref="G15:I16"/>
    <mergeCell ref="J15:N16"/>
    <mergeCell ref="P15:P16"/>
    <mergeCell ref="Q15:T16"/>
    <mergeCell ref="W15:X15"/>
    <mergeCell ref="Y15:AE15"/>
    <mergeCell ref="AI26:AK26"/>
    <mergeCell ref="V21:V26"/>
    <mergeCell ref="Y21:AE21"/>
    <mergeCell ref="Y22:AE22"/>
    <mergeCell ref="Y25:AE25"/>
    <mergeCell ref="B23:N23"/>
    <mergeCell ref="Q23:T23"/>
    <mergeCell ref="W23:X23"/>
    <mergeCell ref="Y23:AE23"/>
    <mergeCell ref="AF23:AH23"/>
    <mergeCell ref="AI23:AK23"/>
    <mergeCell ref="AF21:AH21"/>
    <mergeCell ref="AI21:AK21"/>
    <mergeCell ref="Q22:T22"/>
    <mergeCell ref="W22:X22"/>
    <mergeCell ref="AF22:AH22"/>
    <mergeCell ref="AI22:AK22"/>
    <mergeCell ref="B20:I21"/>
    <mergeCell ref="J20:N21"/>
    <mergeCell ref="Q20:T20"/>
    <mergeCell ref="W20:X20"/>
    <mergeCell ref="AF20:AH20"/>
    <mergeCell ref="AI20:AK20"/>
    <mergeCell ref="Q21:T21"/>
    <mergeCell ref="Q27:T27"/>
    <mergeCell ref="W27:X27"/>
    <mergeCell ref="B28:E29"/>
    <mergeCell ref="Q28:T28"/>
    <mergeCell ref="W28:X28"/>
    <mergeCell ref="Q29:T29"/>
    <mergeCell ref="W29:X29"/>
    <mergeCell ref="F28:K29"/>
    <mergeCell ref="AI24:AK24"/>
    <mergeCell ref="B25:I26"/>
    <mergeCell ref="J25:N26"/>
    <mergeCell ref="Q25:T25"/>
    <mergeCell ref="W25:X25"/>
    <mergeCell ref="AF25:AH25"/>
    <mergeCell ref="AI25:AK25"/>
    <mergeCell ref="Q26:T26"/>
    <mergeCell ref="W26:X26"/>
    <mergeCell ref="AF26:AH26"/>
    <mergeCell ref="B24:I24"/>
    <mergeCell ref="J24:N24"/>
    <mergeCell ref="Q24:T24"/>
    <mergeCell ref="W24:X24"/>
    <mergeCell ref="Y24:AE24"/>
    <mergeCell ref="AF24:AH24"/>
    <mergeCell ref="H36:M36"/>
    <mergeCell ref="AF31:AH31"/>
    <mergeCell ref="AI31:AK31"/>
    <mergeCell ref="W32:X32"/>
    <mergeCell ref="AF32:AH32"/>
    <mergeCell ref="AI32:AK32"/>
    <mergeCell ref="W33:X33"/>
    <mergeCell ref="AF33:AH33"/>
    <mergeCell ref="AI33:AK33"/>
    <mergeCell ref="AI34:AK34"/>
    <mergeCell ref="AF34:AH34"/>
    <mergeCell ref="B42:I42"/>
    <mergeCell ref="J42:N42"/>
    <mergeCell ref="P114:AO114"/>
    <mergeCell ref="P115:AO115"/>
    <mergeCell ref="L6:N7"/>
    <mergeCell ref="B9:F10"/>
    <mergeCell ref="B11:F11"/>
    <mergeCell ref="B38:N38"/>
    <mergeCell ref="B39:I39"/>
    <mergeCell ref="J39:N39"/>
    <mergeCell ref="B40:I40"/>
    <mergeCell ref="J40:N40"/>
    <mergeCell ref="B41:I41"/>
    <mergeCell ref="J41:N41"/>
    <mergeCell ref="W34:X34"/>
    <mergeCell ref="W35:X35"/>
    <mergeCell ref="AF35:AH35"/>
    <mergeCell ref="AI35:AK35"/>
    <mergeCell ref="B36:G36"/>
    <mergeCell ref="F6:J7"/>
    <mergeCell ref="B6:E7"/>
    <mergeCell ref="B30:E31"/>
    <mergeCell ref="W30:X30"/>
    <mergeCell ref="V6:V7"/>
    <mergeCell ref="W42:X42"/>
    <mergeCell ref="Z42:AE42"/>
    <mergeCell ref="AF42:AH42"/>
    <mergeCell ref="AI42:AK42"/>
    <mergeCell ref="W43:X43"/>
    <mergeCell ref="Z43:AE43"/>
    <mergeCell ref="Z28:AE28"/>
    <mergeCell ref="Z29:AE29"/>
    <mergeCell ref="Z30:AE30"/>
    <mergeCell ref="Z31:AE31"/>
    <mergeCell ref="Z32:AE32"/>
    <mergeCell ref="Z33:AE33"/>
    <mergeCell ref="Z34:AE34"/>
    <mergeCell ref="Z35:AE35"/>
    <mergeCell ref="AF43:AH43"/>
    <mergeCell ref="AI30:AK30"/>
    <mergeCell ref="W31:X31"/>
    <mergeCell ref="AI40:AK40"/>
    <mergeCell ref="AI41:AK41"/>
    <mergeCell ref="AI27:AK27"/>
    <mergeCell ref="AF28:AH28"/>
    <mergeCell ref="AI28:AK28"/>
    <mergeCell ref="W36:X36"/>
    <mergeCell ref="W37:X37"/>
    <mergeCell ref="W38:X38"/>
    <mergeCell ref="W39:X39"/>
    <mergeCell ref="W40:X40"/>
    <mergeCell ref="Z40:AE40"/>
    <mergeCell ref="AF40:AH40"/>
    <mergeCell ref="W47:X47"/>
    <mergeCell ref="Z47:AE47"/>
    <mergeCell ref="AF46:AH46"/>
    <mergeCell ref="AI47:AK47"/>
    <mergeCell ref="W48:X48"/>
    <mergeCell ref="Z48:AE48"/>
    <mergeCell ref="AF48:AH48"/>
    <mergeCell ref="AI48:AK48"/>
    <mergeCell ref="V27:V48"/>
    <mergeCell ref="W46:X46"/>
    <mergeCell ref="Z46:AE46"/>
    <mergeCell ref="Y27:AE27"/>
    <mergeCell ref="W41:X41"/>
    <mergeCell ref="Z41:AE41"/>
    <mergeCell ref="W44:X44"/>
    <mergeCell ref="Z44:AE44"/>
    <mergeCell ref="AF44:AH44"/>
    <mergeCell ref="AI43:AK43"/>
    <mergeCell ref="W45:X45"/>
    <mergeCell ref="Z45:AE45"/>
    <mergeCell ref="AF45:AH45"/>
    <mergeCell ref="AI45:AK45"/>
    <mergeCell ref="AI46:AK46"/>
    <mergeCell ref="AF27:AH27"/>
    <mergeCell ref="V49:V55"/>
    <mergeCell ref="Y52:AE52"/>
    <mergeCell ref="Y53:AE53"/>
    <mergeCell ref="Y54:AE54"/>
    <mergeCell ref="Y55:AE55"/>
    <mergeCell ref="W50:X50"/>
    <mergeCell ref="W51:X51"/>
    <mergeCell ref="W52:X52"/>
    <mergeCell ref="W53:X53"/>
    <mergeCell ref="W54:X54"/>
    <mergeCell ref="W55:X55"/>
    <mergeCell ref="W49:X49"/>
    <mergeCell ref="Z50:AE50"/>
    <mergeCell ref="Z51:AE51"/>
    <mergeCell ref="Y49:AE49"/>
    <mergeCell ref="AF56:AK56"/>
    <mergeCell ref="AF36:AH36"/>
    <mergeCell ref="AF37:AH37"/>
    <mergeCell ref="AF38:AH38"/>
    <mergeCell ref="AF39:AH39"/>
    <mergeCell ref="AF52:AH52"/>
    <mergeCell ref="AI52:AK52"/>
    <mergeCell ref="AF53:AH53"/>
    <mergeCell ref="AI53:AK53"/>
    <mergeCell ref="AF54:AH54"/>
    <mergeCell ref="AI54:AK54"/>
    <mergeCell ref="AF55:AH55"/>
    <mergeCell ref="AI55:AK55"/>
    <mergeCell ref="AI36:AK36"/>
    <mergeCell ref="AI37:AK37"/>
    <mergeCell ref="AI38:AK38"/>
    <mergeCell ref="AI39:AK39"/>
    <mergeCell ref="AI49:AK49"/>
    <mergeCell ref="AI50:AK50"/>
    <mergeCell ref="AI51:AK51"/>
    <mergeCell ref="AF49:AH49"/>
    <mergeCell ref="AF50:AH50"/>
    <mergeCell ref="AF51:AH51"/>
    <mergeCell ref="AF41:AH41"/>
  </mergeCells>
  <conditionalFormatting sqref="V6:V7">
    <cfRule type="expression" dxfId="3" priority="2">
      <formula>AND($V$6&gt;=95%*$AK$10,$V$6&lt;=105%*$AK$10)</formula>
    </cfRule>
  </conditionalFormatting>
  <conditionalFormatting sqref="AA6:AC7">
    <cfRule type="expression" dxfId="2" priority="1">
      <formula>$F$53=1</formula>
    </cfRule>
  </conditionalFormatting>
  <dataValidations count="6">
    <dataValidation type="list" allowBlank="1" showInputMessage="1" showErrorMessage="1" sqref="G15:I16" xr:uid="{00000000-0002-0000-0000-000000000000}">
      <formula1>"0,1,2"</formula1>
    </dataValidation>
    <dataValidation type="list" allowBlank="1" showInputMessage="1" showErrorMessage="1" sqref="L6:N7" xr:uid="{00000000-0002-0000-0000-000001000000}">
      <formula1>"Ca 1, Ca 2, Ca 3, Ca HC"</formula1>
    </dataValidation>
    <dataValidation type="list" allowBlank="1" showInputMessage="1" showErrorMessage="1" sqref="F6:J7" xr:uid="{00000000-0002-0000-0000-000002000000}">
      <formula1>"Hàng sản xuất, Hàng bù"</formula1>
    </dataValidation>
    <dataValidation type="list" allowBlank="1" showInputMessage="1" showErrorMessage="1" sqref="F15:F16" xr:uid="{00000000-0002-0000-0000-000003000000}">
      <formula1>"BASF, DIC,HUNSTMAN, COVESTRO,VLN"</formula1>
    </dataValidation>
    <dataValidation type="list" allowBlank="1" showInputMessage="1" showErrorMessage="1" sqref="AL15:AM55" xr:uid="{7CB79B2D-48B9-4803-BB59-E5E69AFD0F96}">
      <formula1>"0,1"</formula1>
    </dataValidation>
    <dataValidation type="list" allowBlank="1" showInputMessage="1" showErrorMessage="1" sqref="AN15:AN55" xr:uid="{FB81A402-5D8C-4E4F-BFF5-3A4BBA7B9BFF}">
      <formula1>"0,1,2,3"</formula1>
    </dataValidation>
  </dataValidations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Check Box 15">
              <controlPr locked="0" defaultSize="0" autoFill="0" autoLine="0" autoPict="0">
                <anchor moveWithCells="1">
                  <from>
                    <xdr:col>5</xdr:col>
                    <xdr:colOff>171450</xdr:colOff>
                    <xdr:row>8</xdr:row>
                    <xdr:rowOff>209550</xdr:rowOff>
                  </from>
                  <to>
                    <xdr:col>5</xdr:col>
                    <xdr:colOff>552450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5" name="Option Button 29">
              <controlPr defaultSize="0" autoFill="0" autoLine="0" autoPict="0">
                <anchor moveWithCells="1">
                  <from>
                    <xdr:col>5</xdr:col>
                    <xdr:colOff>209550</xdr:colOff>
                    <xdr:row>26</xdr:row>
                    <xdr:rowOff>200025</xdr:rowOff>
                  </from>
                  <to>
                    <xdr:col>7</xdr:col>
                    <xdr:colOff>76200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6" name="Option Button 30">
              <controlPr defaultSize="0" autoFill="0" autoLine="0" autoPict="0">
                <anchor moveWithCells="1">
                  <from>
                    <xdr:col>5</xdr:col>
                    <xdr:colOff>219075</xdr:colOff>
                    <xdr:row>27</xdr:row>
                    <xdr:rowOff>171450</xdr:rowOff>
                  </from>
                  <to>
                    <xdr:col>7</xdr:col>
                    <xdr:colOff>85725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List!$B$3:$B$26</xm:f>
          </x14:formula1>
          <xm:sqref>P6:R7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9"/>
  </sheetPr>
  <dimension ref="A1:AN5654"/>
  <sheetViews>
    <sheetView zoomScale="85" zoomScaleNormal="85" workbookViewId="0">
      <selection activeCell="E9" sqref="E9"/>
    </sheetView>
  </sheetViews>
  <sheetFormatPr defaultRowHeight="15"/>
  <cols>
    <col min="1" max="1" width="17.140625" customWidth="1"/>
    <col min="2" max="2" width="15.7109375" customWidth="1"/>
    <col min="3" max="3" width="20" customWidth="1"/>
    <col min="4" max="4" width="25.28515625" customWidth="1"/>
    <col min="6" max="6" width="24.28515625" customWidth="1"/>
    <col min="7" max="7" width="28.7109375" customWidth="1"/>
    <col min="8" max="8" width="12.7109375" customWidth="1"/>
    <col min="9" max="9" width="20" customWidth="1"/>
    <col min="10" max="16" width="12.28515625" bestFit="1" customWidth="1"/>
  </cols>
  <sheetData>
    <row r="1" spans="1:16" ht="27" thickBot="1">
      <c r="A1" s="392" t="s">
        <v>287</v>
      </c>
      <c r="B1" s="392"/>
      <c r="C1" s="392"/>
      <c r="D1" s="392"/>
      <c r="E1" s="392"/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</row>
    <row r="2" spans="1:16" ht="15.75">
      <c r="A2" s="5" t="s">
        <v>119</v>
      </c>
      <c r="B2" s="6" t="s">
        <v>120</v>
      </c>
      <c r="C2" s="7" t="s">
        <v>121</v>
      </c>
      <c r="D2" s="7" t="s">
        <v>122</v>
      </c>
      <c r="E2" s="7" t="s">
        <v>123</v>
      </c>
      <c r="F2" s="6" t="s">
        <v>124</v>
      </c>
      <c r="G2" s="8" t="s">
        <v>125</v>
      </c>
      <c r="H2" s="8" t="s">
        <v>126</v>
      </c>
      <c r="I2" s="8" t="s">
        <v>127</v>
      </c>
      <c r="J2" s="8" t="s">
        <v>285</v>
      </c>
      <c r="K2" s="8" t="s">
        <v>24</v>
      </c>
      <c r="L2" s="8" t="s">
        <v>16</v>
      </c>
      <c r="M2" s="8" t="s">
        <v>286</v>
      </c>
      <c r="N2" s="8" t="s">
        <v>30</v>
      </c>
      <c r="O2" s="8" t="s">
        <v>31</v>
      </c>
      <c r="P2" s="8" t="s">
        <v>143</v>
      </c>
    </row>
    <row r="3" spans="1:16" ht="15.75">
      <c r="A3" s="12" t="s">
        <v>154</v>
      </c>
      <c r="B3" s="13" t="s">
        <v>155</v>
      </c>
      <c r="C3" s="14" t="s">
        <v>156</v>
      </c>
      <c r="D3" s="14" t="s">
        <v>157</v>
      </c>
      <c r="E3" s="14" t="s">
        <v>158</v>
      </c>
      <c r="F3" s="13" t="s">
        <v>159</v>
      </c>
      <c r="G3" s="14" t="s">
        <v>160</v>
      </c>
      <c r="H3" s="14" t="s">
        <v>161</v>
      </c>
      <c r="I3" s="14" t="s">
        <v>162</v>
      </c>
      <c r="J3" s="14"/>
      <c r="K3" s="14"/>
      <c r="L3" s="14"/>
      <c r="M3" s="14"/>
      <c r="N3" s="14"/>
      <c r="O3" s="14"/>
      <c r="P3" s="14"/>
    </row>
    <row r="4" spans="1:16">
      <c r="A4" s="19" t="s">
        <v>179</v>
      </c>
      <c r="B4" s="20" t="s">
        <v>180</v>
      </c>
      <c r="C4" s="21" t="s">
        <v>181</v>
      </c>
      <c r="D4" s="21" t="s">
        <v>182</v>
      </c>
      <c r="E4" s="21" t="s">
        <v>183</v>
      </c>
      <c r="F4" s="20" t="s">
        <v>184</v>
      </c>
      <c r="G4" s="21" t="s">
        <v>185</v>
      </c>
      <c r="H4" s="21" t="s">
        <v>186</v>
      </c>
      <c r="I4" s="21" t="s">
        <v>187</v>
      </c>
      <c r="J4" s="21"/>
      <c r="K4" s="21"/>
      <c r="L4" s="21"/>
      <c r="M4" s="21"/>
      <c r="N4" s="21"/>
      <c r="O4" s="21"/>
      <c r="P4" s="21"/>
    </row>
    <row r="5" spans="1:16">
      <c r="A5" s="29">
        <v>46219.192245370374</v>
      </c>
      <c r="B5" s="30">
        <v>46218</v>
      </c>
      <c r="C5">
        <v>1921551</v>
      </c>
      <c r="D5" t="s">
        <v>380</v>
      </c>
      <c r="E5" t="s">
        <v>653</v>
      </c>
      <c r="F5" t="s">
        <v>537</v>
      </c>
      <c r="G5" t="s">
        <v>429</v>
      </c>
      <c r="H5" t="s">
        <v>641</v>
      </c>
      <c r="I5" t="s">
        <v>86</v>
      </c>
      <c r="J5">
        <v>300</v>
      </c>
      <c r="K5">
        <v>0</v>
      </c>
      <c r="L5">
        <v>0</v>
      </c>
      <c r="P5" t="s">
        <v>1656</v>
      </c>
    </row>
    <row r="6" spans="1:16">
      <c r="A6" s="29">
        <v>46219.192245370374</v>
      </c>
      <c r="B6" s="30">
        <v>46218</v>
      </c>
      <c r="C6">
        <v>1921551</v>
      </c>
      <c r="D6" t="s">
        <v>380</v>
      </c>
      <c r="E6" t="s">
        <v>653</v>
      </c>
      <c r="F6" t="s">
        <v>537</v>
      </c>
      <c r="G6" t="s">
        <v>429</v>
      </c>
      <c r="H6" t="s">
        <v>641</v>
      </c>
      <c r="I6" t="s">
        <v>86</v>
      </c>
      <c r="J6">
        <v>308</v>
      </c>
      <c r="K6">
        <v>0</v>
      </c>
      <c r="L6">
        <v>0</v>
      </c>
      <c r="P6" t="s">
        <v>1656</v>
      </c>
    </row>
    <row r="7" spans="1:16">
      <c r="A7" s="29">
        <v>46219.20585648148</v>
      </c>
      <c r="B7" s="30">
        <v>46218</v>
      </c>
      <c r="C7">
        <v>2221908</v>
      </c>
      <c r="D7" t="s">
        <v>398</v>
      </c>
      <c r="E7" t="s">
        <v>653</v>
      </c>
      <c r="F7" t="s">
        <v>502</v>
      </c>
      <c r="G7" t="s">
        <v>228</v>
      </c>
      <c r="H7" t="s">
        <v>641</v>
      </c>
      <c r="I7" t="s">
        <v>88</v>
      </c>
      <c r="J7">
        <v>300</v>
      </c>
      <c r="K7">
        <v>0</v>
      </c>
      <c r="L7">
        <v>0</v>
      </c>
      <c r="P7" t="s">
        <v>1661</v>
      </c>
    </row>
    <row r="8" spans="1:16">
      <c r="A8" s="29">
        <v>46219.20585648148</v>
      </c>
      <c r="B8" s="30">
        <v>46218</v>
      </c>
      <c r="C8">
        <v>2221908</v>
      </c>
      <c r="D8" t="s">
        <v>398</v>
      </c>
      <c r="E8" t="s">
        <v>653</v>
      </c>
      <c r="F8" t="s">
        <v>502</v>
      </c>
      <c r="G8" t="s">
        <v>228</v>
      </c>
      <c r="H8" t="s">
        <v>641</v>
      </c>
      <c r="I8" t="s">
        <v>88</v>
      </c>
      <c r="J8">
        <v>308</v>
      </c>
      <c r="K8">
        <v>2</v>
      </c>
      <c r="L8">
        <v>1.1666666666666667</v>
      </c>
      <c r="P8" t="s">
        <v>1661</v>
      </c>
    </row>
    <row r="9" spans="1:16">
      <c r="A9" s="29">
        <v>46219.20585648148</v>
      </c>
      <c r="B9" s="30">
        <v>46218</v>
      </c>
      <c r="C9">
        <v>2221908</v>
      </c>
      <c r="D9" t="s">
        <v>398</v>
      </c>
      <c r="E9" t="s">
        <v>653</v>
      </c>
      <c r="F9" t="s">
        <v>502</v>
      </c>
      <c r="G9" t="s">
        <v>228</v>
      </c>
      <c r="H9" t="s">
        <v>641</v>
      </c>
      <c r="I9" t="s">
        <v>88</v>
      </c>
      <c r="J9" t="s">
        <v>455</v>
      </c>
      <c r="K9">
        <v>2</v>
      </c>
      <c r="L9">
        <v>1.1666666666666667</v>
      </c>
      <c r="M9">
        <v>1</v>
      </c>
      <c r="N9">
        <v>1</v>
      </c>
      <c r="P9" t="s">
        <v>1661</v>
      </c>
    </row>
    <row r="10" spans="1:16">
      <c r="A10" s="29">
        <v>46219.206967592596</v>
      </c>
      <c r="B10" s="30">
        <v>46218</v>
      </c>
      <c r="C10">
        <v>2221908</v>
      </c>
      <c r="D10" t="s">
        <v>398</v>
      </c>
      <c r="E10" t="s">
        <v>653</v>
      </c>
      <c r="F10" t="s">
        <v>604</v>
      </c>
      <c r="G10" t="s">
        <v>225</v>
      </c>
      <c r="H10" t="s">
        <v>641</v>
      </c>
      <c r="I10" t="s">
        <v>89</v>
      </c>
      <c r="J10">
        <v>300</v>
      </c>
      <c r="K10">
        <v>0</v>
      </c>
      <c r="L10">
        <v>0</v>
      </c>
      <c r="P10" t="s">
        <v>1662</v>
      </c>
    </row>
    <row r="11" spans="1:16">
      <c r="A11" s="29">
        <v>46219.206967592596</v>
      </c>
      <c r="B11" s="30">
        <v>46218</v>
      </c>
      <c r="C11">
        <v>2221908</v>
      </c>
      <c r="D11" t="s">
        <v>398</v>
      </c>
      <c r="E11" t="s">
        <v>653</v>
      </c>
      <c r="F11" t="s">
        <v>604</v>
      </c>
      <c r="G11" t="s">
        <v>225</v>
      </c>
      <c r="H11" t="s">
        <v>641</v>
      </c>
      <c r="I11" t="s">
        <v>89</v>
      </c>
      <c r="J11">
        <v>308</v>
      </c>
      <c r="K11">
        <v>2</v>
      </c>
      <c r="L11">
        <v>1</v>
      </c>
      <c r="P11" t="s">
        <v>1662</v>
      </c>
    </row>
    <row r="12" spans="1:16">
      <c r="A12" s="29">
        <v>46219.206967592596</v>
      </c>
      <c r="B12" s="30">
        <v>46218</v>
      </c>
      <c r="C12">
        <v>2221908</v>
      </c>
      <c r="D12" t="s">
        <v>398</v>
      </c>
      <c r="E12" t="s">
        <v>653</v>
      </c>
      <c r="F12" t="s">
        <v>604</v>
      </c>
      <c r="G12" t="s">
        <v>225</v>
      </c>
      <c r="H12" t="s">
        <v>641</v>
      </c>
      <c r="I12" t="s">
        <v>89</v>
      </c>
      <c r="J12" t="s">
        <v>455</v>
      </c>
      <c r="K12">
        <v>2</v>
      </c>
      <c r="L12">
        <v>1</v>
      </c>
      <c r="M12">
        <v>1</v>
      </c>
      <c r="N12">
        <v>1</v>
      </c>
      <c r="P12" t="s">
        <v>1662</v>
      </c>
    </row>
    <row r="13" spans="1:16">
      <c r="A13" s="29">
        <v>46219.206967592596</v>
      </c>
      <c r="B13" s="30">
        <v>46218</v>
      </c>
      <c r="C13">
        <v>2221908</v>
      </c>
      <c r="D13" t="s">
        <v>398</v>
      </c>
      <c r="E13" t="s">
        <v>653</v>
      </c>
      <c r="F13" t="s">
        <v>604</v>
      </c>
      <c r="G13" t="s">
        <v>225</v>
      </c>
      <c r="H13" t="s">
        <v>641</v>
      </c>
      <c r="I13" t="s">
        <v>89</v>
      </c>
      <c r="J13" t="s">
        <v>61</v>
      </c>
      <c r="K13">
        <v>1</v>
      </c>
      <c r="L13">
        <v>4</v>
      </c>
      <c r="M13">
        <v>1</v>
      </c>
      <c r="N13">
        <v>1</v>
      </c>
      <c r="P13" t="s">
        <v>1662</v>
      </c>
    </row>
    <row r="14" spans="1:16">
      <c r="A14" s="29">
        <v>46219.206967592596</v>
      </c>
      <c r="B14" s="30">
        <v>46218</v>
      </c>
      <c r="C14">
        <v>2221908</v>
      </c>
      <c r="D14" t="s">
        <v>398</v>
      </c>
      <c r="E14" t="s">
        <v>653</v>
      </c>
      <c r="F14" t="s">
        <v>604</v>
      </c>
      <c r="G14" t="s">
        <v>225</v>
      </c>
      <c r="H14" t="s">
        <v>641</v>
      </c>
      <c r="I14" t="s">
        <v>89</v>
      </c>
      <c r="J14" t="s">
        <v>62</v>
      </c>
      <c r="K14">
        <v>1</v>
      </c>
      <c r="L14">
        <v>1</v>
      </c>
      <c r="M14">
        <v>1</v>
      </c>
      <c r="N14">
        <v>1</v>
      </c>
      <c r="P14" t="s">
        <v>1662</v>
      </c>
    </row>
    <row r="15" spans="1:16">
      <c r="A15" s="29">
        <v>46219.206967592596</v>
      </c>
      <c r="B15" s="30">
        <v>46218</v>
      </c>
      <c r="C15">
        <v>2221908</v>
      </c>
      <c r="D15" t="s">
        <v>398</v>
      </c>
      <c r="E15" t="s">
        <v>653</v>
      </c>
      <c r="F15" t="s">
        <v>604</v>
      </c>
      <c r="G15" t="s">
        <v>225</v>
      </c>
      <c r="H15" t="s">
        <v>641</v>
      </c>
      <c r="I15" t="s">
        <v>89</v>
      </c>
      <c r="J15" t="s">
        <v>326</v>
      </c>
      <c r="K15">
        <v>1</v>
      </c>
      <c r="L15">
        <v>1</v>
      </c>
      <c r="M15">
        <v>1</v>
      </c>
      <c r="N15">
        <v>1</v>
      </c>
      <c r="P15" t="s">
        <v>1662</v>
      </c>
    </row>
    <row r="16" spans="1:16">
      <c r="A16" s="29">
        <v>46219.209456018521</v>
      </c>
      <c r="B16" s="30">
        <v>46218</v>
      </c>
      <c r="C16">
        <v>2325295</v>
      </c>
      <c r="D16" t="s">
        <v>411</v>
      </c>
      <c r="E16" t="s">
        <v>653</v>
      </c>
      <c r="F16" t="s">
        <v>542</v>
      </c>
      <c r="G16" t="s">
        <v>256</v>
      </c>
      <c r="H16" t="s">
        <v>641</v>
      </c>
      <c r="I16" t="s">
        <v>93</v>
      </c>
      <c r="J16">
        <v>104</v>
      </c>
      <c r="K16">
        <v>1</v>
      </c>
      <c r="L16">
        <v>6.083333333333333</v>
      </c>
      <c r="M16">
        <v>0</v>
      </c>
      <c r="N16">
        <v>1</v>
      </c>
      <c r="P16" t="s">
        <v>1664</v>
      </c>
    </row>
    <row r="17" spans="1:16">
      <c r="A17" s="29">
        <v>46219.209456018521</v>
      </c>
      <c r="B17" s="30">
        <v>46218</v>
      </c>
      <c r="C17">
        <v>2325295</v>
      </c>
      <c r="D17" t="s">
        <v>411</v>
      </c>
      <c r="E17" t="s">
        <v>653</v>
      </c>
      <c r="F17" t="s">
        <v>542</v>
      </c>
      <c r="G17" t="s">
        <v>256</v>
      </c>
      <c r="H17" t="s">
        <v>641</v>
      </c>
      <c r="I17" t="s">
        <v>93</v>
      </c>
      <c r="J17">
        <v>300</v>
      </c>
      <c r="K17">
        <v>0</v>
      </c>
      <c r="L17">
        <v>0</v>
      </c>
      <c r="P17" t="s">
        <v>1664</v>
      </c>
    </row>
    <row r="18" spans="1:16">
      <c r="A18" s="29">
        <v>46219.209456018521</v>
      </c>
      <c r="B18" s="30">
        <v>46218</v>
      </c>
      <c r="C18">
        <v>2325295</v>
      </c>
      <c r="D18" t="s">
        <v>411</v>
      </c>
      <c r="E18" t="s">
        <v>653</v>
      </c>
      <c r="F18" t="s">
        <v>542</v>
      </c>
      <c r="G18" t="s">
        <v>256</v>
      </c>
      <c r="H18" t="s">
        <v>641</v>
      </c>
      <c r="I18" t="s">
        <v>93</v>
      </c>
      <c r="J18" t="s">
        <v>38</v>
      </c>
      <c r="K18">
        <v>1</v>
      </c>
      <c r="L18">
        <v>1.5</v>
      </c>
      <c r="M18">
        <v>1</v>
      </c>
      <c r="N18">
        <v>1</v>
      </c>
      <c r="P18" t="s">
        <v>1664</v>
      </c>
    </row>
    <row r="19" spans="1:16">
      <c r="A19" s="29">
        <v>46219.209456018521</v>
      </c>
      <c r="B19" s="30">
        <v>46218</v>
      </c>
      <c r="C19">
        <v>2325295</v>
      </c>
      <c r="D19" t="s">
        <v>411</v>
      </c>
      <c r="E19" t="s">
        <v>653</v>
      </c>
      <c r="F19" t="s">
        <v>542</v>
      </c>
      <c r="G19" t="s">
        <v>256</v>
      </c>
      <c r="H19" t="s">
        <v>641</v>
      </c>
      <c r="I19" t="s">
        <v>93</v>
      </c>
      <c r="J19">
        <v>308</v>
      </c>
      <c r="K19">
        <v>1</v>
      </c>
      <c r="L19">
        <v>0.41666666666666669</v>
      </c>
      <c r="P19" t="s">
        <v>1664</v>
      </c>
    </row>
    <row r="20" spans="1:16">
      <c r="A20" s="29">
        <v>46219.209456018521</v>
      </c>
      <c r="B20" s="30">
        <v>46218</v>
      </c>
      <c r="C20">
        <v>2325295</v>
      </c>
      <c r="D20" t="s">
        <v>411</v>
      </c>
      <c r="E20" t="s">
        <v>653</v>
      </c>
      <c r="F20" t="s">
        <v>542</v>
      </c>
      <c r="G20" t="s">
        <v>256</v>
      </c>
      <c r="H20" t="s">
        <v>641</v>
      </c>
      <c r="I20" t="s">
        <v>93</v>
      </c>
      <c r="J20" t="s">
        <v>54</v>
      </c>
      <c r="K20">
        <v>1</v>
      </c>
      <c r="L20">
        <v>0.41666666666666669</v>
      </c>
      <c r="M20">
        <v>1</v>
      </c>
      <c r="N20">
        <v>1</v>
      </c>
      <c r="P20" t="s">
        <v>1664</v>
      </c>
    </row>
    <row r="21" spans="1:16">
      <c r="A21" s="29">
        <v>46219.219236111108</v>
      </c>
      <c r="B21" s="30">
        <v>46218</v>
      </c>
      <c r="C21">
        <v>2022158</v>
      </c>
      <c r="D21" t="s">
        <v>394</v>
      </c>
      <c r="E21" t="s">
        <v>653</v>
      </c>
      <c r="F21" t="s">
        <v>670</v>
      </c>
      <c r="G21" t="s">
        <v>1216</v>
      </c>
      <c r="H21" t="s">
        <v>641</v>
      </c>
      <c r="I21" t="s">
        <v>99</v>
      </c>
      <c r="J21">
        <v>104</v>
      </c>
      <c r="K21">
        <v>1</v>
      </c>
      <c r="L21">
        <v>4.583333333333333</v>
      </c>
      <c r="M21">
        <v>0</v>
      </c>
      <c r="N21">
        <v>1</v>
      </c>
      <c r="P21" t="s">
        <v>1667</v>
      </c>
    </row>
    <row r="22" spans="1:16">
      <c r="A22" s="29">
        <v>46219.219236111108</v>
      </c>
      <c r="B22" s="30">
        <v>46218</v>
      </c>
      <c r="C22">
        <v>2022158</v>
      </c>
      <c r="D22" t="s">
        <v>394</v>
      </c>
      <c r="E22" t="s">
        <v>653</v>
      </c>
      <c r="F22" t="s">
        <v>670</v>
      </c>
      <c r="G22" t="s">
        <v>1216</v>
      </c>
      <c r="H22" t="s">
        <v>641</v>
      </c>
      <c r="I22" t="s">
        <v>99</v>
      </c>
      <c r="J22">
        <v>114</v>
      </c>
      <c r="K22">
        <v>3</v>
      </c>
      <c r="L22">
        <v>1.0833333333333333</v>
      </c>
      <c r="M22">
        <v>0</v>
      </c>
      <c r="N22">
        <v>1</v>
      </c>
      <c r="P22" t="s">
        <v>1667</v>
      </c>
    </row>
    <row r="23" spans="1:16">
      <c r="A23" s="29">
        <v>46219.219236111108</v>
      </c>
      <c r="B23" s="30">
        <v>46218</v>
      </c>
      <c r="C23">
        <v>2022158</v>
      </c>
      <c r="D23" t="s">
        <v>394</v>
      </c>
      <c r="E23" t="s">
        <v>653</v>
      </c>
      <c r="F23" t="s">
        <v>670</v>
      </c>
      <c r="G23" t="s">
        <v>1216</v>
      </c>
      <c r="H23" t="s">
        <v>641</v>
      </c>
      <c r="I23" t="s">
        <v>99</v>
      </c>
      <c r="J23" t="s">
        <v>43</v>
      </c>
      <c r="K23">
        <v>1</v>
      </c>
      <c r="L23">
        <v>0.16666666666666666</v>
      </c>
      <c r="M23">
        <v>0</v>
      </c>
      <c r="N23">
        <v>1</v>
      </c>
      <c r="P23" t="s">
        <v>1667</v>
      </c>
    </row>
    <row r="24" spans="1:16">
      <c r="A24" s="29">
        <v>46219.219236111108</v>
      </c>
      <c r="B24" s="30">
        <v>46218</v>
      </c>
      <c r="C24">
        <v>2022158</v>
      </c>
      <c r="D24" t="s">
        <v>394</v>
      </c>
      <c r="E24" t="s">
        <v>653</v>
      </c>
      <c r="F24" t="s">
        <v>670</v>
      </c>
      <c r="G24" t="s">
        <v>1216</v>
      </c>
      <c r="H24" t="s">
        <v>641</v>
      </c>
      <c r="I24" t="s">
        <v>99</v>
      </c>
      <c r="J24" t="s">
        <v>47</v>
      </c>
      <c r="K24">
        <v>1</v>
      </c>
      <c r="L24">
        <v>0.33333333333333331</v>
      </c>
      <c r="M24">
        <v>0</v>
      </c>
      <c r="N24">
        <v>1</v>
      </c>
      <c r="P24" t="s">
        <v>1667</v>
      </c>
    </row>
    <row r="25" spans="1:16">
      <c r="A25" s="29">
        <v>46219.219236111108</v>
      </c>
      <c r="B25" s="30">
        <v>46218</v>
      </c>
      <c r="C25">
        <v>2022158</v>
      </c>
      <c r="D25" t="s">
        <v>394</v>
      </c>
      <c r="E25" t="s">
        <v>653</v>
      </c>
      <c r="F25" t="s">
        <v>670</v>
      </c>
      <c r="G25" t="s">
        <v>1216</v>
      </c>
      <c r="H25" t="s">
        <v>641</v>
      </c>
      <c r="I25" t="s">
        <v>99</v>
      </c>
      <c r="J25">
        <v>300</v>
      </c>
      <c r="K25">
        <v>0</v>
      </c>
      <c r="L25">
        <v>0</v>
      </c>
      <c r="P25" t="s">
        <v>1667</v>
      </c>
    </row>
    <row r="26" spans="1:16">
      <c r="A26" s="29">
        <v>46219.219236111108</v>
      </c>
      <c r="B26" s="30">
        <v>46218</v>
      </c>
      <c r="C26">
        <v>2022158</v>
      </c>
      <c r="D26" t="s">
        <v>394</v>
      </c>
      <c r="E26" t="s">
        <v>653</v>
      </c>
      <c r="F26" t="s">
        <v>670</v>
      </c>
      <c r="G26" t="s">
        <v>1216</v>
      </c>
      <c r="H26" t="s">
        <v>641</v>
      </c>
      <c r="I26" t="s">
        <v>99</v>
      </c>
      <c r="J26">
        <v>308</v>
      </c>
      <c r="K26">
        <v>0</v>
      </c>
      <c r="L26">
        <v>0</v>
      </c>
      <c r="P26" t="s">
        <v>1667</v>
      </c>
    </row>
    <row r="27" spans="1:16">
      <c r="A27" s="29">
        <v>46219.230381944442</v>
      </c>
      <c r="B27" s="30">
        <v>46218</v>
      </c>
      <c r="C27">
        <v>2325365</v>
      </c>
      <c r="D27" t="s">
        <v>414</v>
      </c>
      <c r="E27" t="s">
        <v>653</v>
      </c>
      <c r="F27" t="s">
        <v>519</v>
      </c>
      <c r="G27" t="s">
        <v>243</v>
      </c>
      <c r="H27" t="s">
        <v>641</v>
      </c>
      <c r="I27" t="s">
        <v>82</v>
      </c>
      <c r="J27">
        <v>300</v>
      </c>
      <c r="K27">
        <v>0</v>
      </c>
      <c r="L27">
        <v>0</v>
      </c>
      <c r="P27" t="s">
        <v>1669</v>
      </c>
    </row>
    <row r="28" spans="1:16">
      <c r="A28" s="29">
        <v>46219.230381944442</v>
      </c>
      <c r="B28" s="30">
        <v>46218</v>
      </c>
      <c r="C28">
        <v>2325365</v>
      </c>
      <c r="D28" t="s">
        <v>414</v>
      </c>
      <c r="E28" t="s">
        <v>653</v>
      </c>
      <c r="F28" t="s">
        <v>519</v>
      </c>
      <c r="G28" t="s">
        <v>243</v>
      </c>
      <c r="H28" t="s">
        <v>641</v>
      </c>
      <c r="I28" t="s">
        <v>82</v>
      </c>
      <c r="J28">
        <v>308</v>
      </c>
      <c r="K28">
        <v>0</v>
      </c>
      <c r="L28">
        <v>0</v>
      </c>
      <c r="P28" t="s">
        <v>1669</v>
      </c>
    </row>
    <row r="29" spans="1:16">
      <c r="A29" s="29">
        <v>46219.231354166666</v>
      </c>
      <c r="B29" s="30">
        <v>46218</v>
      </c>
      <c r="C29">
        <v>2325365</v>
      </c>
      <c r="D29" t="s">
        <v>414</v>
      </c>
      <c r="E29" t="s">
        <v>653</v>
      </c>
      <c r="F29" t="s">
        <v>535</v>
      </c>
      <c r="G29" t="s">
        <v>259</v>
      </c>
      <c r="H29" t="s">
        <v>641</v>
      </c>
      <c r="I29" t="s">
        <v>82</v>
      </c>
      <c r="J29">
        <v>300</v>
      </c>
      <c r="K29">
        <v>0</v>
      </c>
      <c r="L29">
        <v>0</v>
      </c>
      <c r="P29" t="s">
        <v>1670</v>
      </c>
    </row>
    <row r="30" spans="1:16">
      <c r="A30" s="29">
        <v>46219.231354166666</v>
      </c>
      <c r="B30" s="30">
        <v>46218</v>
      </c>
      <c r="C30">
        <v>2325365</v>
      </c>
      <c r="D30" t="s">
        <v>414</v>
      </c>
      <c r="E30" t="s">
        <v>653</v>
      </c>
      <c r="F30" t="s">
        <v>535</v>
      </c>
      <c r="G30" t="s">
        <v>259</v>
      </c>
      <c r="H30" t="s">
        <v>641</v>
      </c>
      <c r="I30" t="s">
        <v>82</v>
      </c>
      <c r="J30">
        <v>308</v>
      </c>
      <c r="K30">
        <v>0</v>
      </c>
      <c r="L30">
        <v>0</v>
      </c>
      <c r="P30" t="s">
        <v>1670</v>
      </c>
    </row>
    <row r="31" spans="1:16">
      <c r="A31" s="29">
        <v>46219.231354166666</v>
      </c>
      <c r="B31" s="30">
        <v>46218</v>
      </c>
      <c r="C31">
        <v>2325365</v>
      </c>
      <c r="D31" t="s">
        <v>414</v>
      </c>
      <c r="E31" t="s">
        <v>653</v>
      </c>
      <c r="F31" t="s">
        <v>535</v>
      </c>
      <c r="G31" t="s">
        <v>259</v>
      </c>
      <c r="H31" t="s">
        <v>641</v>
      </c>
      <c r="I31" t="s">
        <v>82</v>
      </c>
      <c r="J31" t="s">
        <v>459</v>
      </c>
      <c r="K31">
        <v>1</v>
      </c>
      <c r="L31">
        <v>0.33333333333333331</v>
      </c>
      <c r="M31">
        <v>1</v>
      </c>
      <c r="P31" t="s">
        <v>1670</v>
      </c>
    </row>
    <row r="32" spans="1:16">
      <c r="A32" s="29">
        <v>46219.233715277776</v>
      </c>
      <c r="B32" s="30">
        <v>46218</v>
      </c>
      <c r="C32">
        <v>2325310</v>
      </c>
      <c r="D32" t="s">
        <v>413</v>
      </c>
      <c r="E32" t="s">
        <v>653</v>
      </c>
      <c r="F32" t="s">
        <v>567</v>
      </c>
      <c r="G32" t="s">
        <v>481</v>
      </c>
      <c r="H32" t="s">
        <v>641</v>
      </c>
      <c r="I32" t="s">
        <v>101</v>
      </c>
      <c r="J32">
        <v>300</v>
      </c>
      <c r="K32">
        <v>1</v>
      </c>
      <c r="L32">
        <v>0.5</v>
      </c>
      <c r="P32" t="s">
        <v>1671</v>
      </c>
    </row>
    <row r="33" spans="1:16">
      <c r="A33" s="29">
        <v>46219.233715277776</v>
      </c>
      <c r="B33" s="30">
        <v>46218</v>
      </c>
      <c r="C33">
        <v>2325310</v>
      </c>
      <c r="D33" t="s">
        <v>413</v>
      </c>
      <c r="E33" t="s">
        <v>653</v>
      </c>
      <c r="F33" t="s">
        <v>567</v>
      </c>
      <c r="G33" t="s">
        <v>481</v>
      </c>
      <c r="H33" t="s">
        <v>641</v>
      </c>
      <c r="I33" t="s">
        <v>101</v>
      </c>
      <c r="J33" t="s">
        <v>445</v>
      </c>
      <c r="K33">
        <v>1</v>
      </c>
      <c r="L33">
        <v>0.5</v>
      </c>
      <c r="M33">
        <v>1</v>
      </c>
      <c r="N33">
        <v>1</v>
      </c>
      <c r="P33" t="s">
        <v>1671</v>
      </c>
    </row>
    <row r="34" spans="1:16">
      <c r="A34" s="29">
        <v>46219.233715277776</v>
      </c>
      <c r="B34" s="30">
        <v>46218</v>
      </c>
      <c r="C34">
        <v>2325310</v>
      </c>
      <c r="D34" t="s">
        <v>413</v>
      </c>
      <c r="E34" t="s">
        <v>653</v>
      </c>
      <c r="F34" t="s">
        <v>567</v>
      </c>
      <c r="G34" t="s">
        <v>481</v>
      </c>
      <c r="H34" t="s">
        <v>641</v>
      </c>
      <c r="I34" t="s">
        <v>101</v>
      </c>
      <c r="J34" t="s">
        <v>38</v>
      </c>
      <c r="K34">
        <v>1</v>
      </c>
      <c r="L34">
        <v>1</v>
      </c>
      <c r="M34">
        <v>1</v>
      </c>
      <c r="N34">
        <v>1</v>
      </c>
      <c r="P34" t="s">
        <v>1671</v>
      </c>
    </row>
    <row r="35" spans="1:16">
      <c r="A35" s="29">
        <v>46219.233715277776</v>
      </c>
      <c r="B35" s="30">
        <v>46218</v>
      </c>
      <c r="C35">
        <v>2325310</v>
      </c>
      <c r="D35" t="s">
        <v>413</v>
      </c>
      <c r="E35" t="s">
        <v>653</v>
      </c>
      <c r="F35" t="s">
        <v>567</v>
      </c>
      <c r="G35" t="s">
        <v>481</v>
      </c>
      <c r="H35" t="s">
        <v>641</v>
      </c>
      <c r="I35" t="s">
        <v>101</v>
      </c>
      <c r="J35">
        <v>308</v>
      </c>
      <c r="K35">
        <v>1</v>
      </c>
      <c r="L35">
        <v>1</v>
      </c>
      <c r="P35" t="s">
        <v>1671</v>
      </c>
    </row>
    <row r="36" spans="1:16">
      <c r="A36" s="29">
        <v>46219.233715277776</v>
      </c>
      <c r="B36" s="30">
        <v>46218</v>
      </c>
      <c r="C36">
        <v>2325310</v>
      </c>
      <c r="D36" t="s">
        <v>413</v>
      </c>
      <c r="E36" t="s">
        <v>653</v>
      </c>
      <c r="F36" t="s">
        <v>567</v>
      </c>
      <c r="G36" t="s">
        <v>481</v>
      </c>
      <c r="H36" t="s">
        <v>641</v>
      </c>
      <c r="I36" t="s">
        <v>101</v>
      </c>
      <c r="J36" t="s">
        <v>456</v>
      </c>
      <c r="K36">
        <v>1</v>
      </c>
      <c r="L36">
        <v>1</v>
      </c>
      <c r="M36">
        <v>1</v>
      </c>
      <c r="N36">
        <v>1</v>
      </c>
      <c r="P36" t="s">
        <v>1671</v>
      </c>
    </row>
    <row r="37" spans="1:16">
      <c r="A37" s="29">
        <v>46219.233715277776</v>
      </c>
      <c r="B37" s="30">
        <v>46218</v>
      </c>
      <c r="C37">
        <v>2325310</v>
      </c>
      <c r="D37" t="s">
        <v>413</v>
      </c>
      <c r="E37" t="s">
        <v>653</v>
      </c>
      <c r="F37" t="s">
        <v>567</v>
      </c>
      <c r="G37" t="s">
        <v>481</v>
      </c>
      <c r="H37" t="s">
        <v>641</v>
      </c>
      <c r="I37" t="s">
        <v>101</v>
      </c>
      <c r="J37" t="s">
        <v>61</v>
      </c>
      <c r="K37">
        <v>1</v>
      </c>
      <c r="L37">
        <v>3</v>
      </c>
      <c r="M37">
        <v>1</v>
      </c>
      <c r="N37">
        <v>1</v>
      </c>
      <c r="P37" t="s">
        <v>1671</v>
      </c>
    </row>
    <row r="38" spans="1:16">
      <c r="A38" s="29">
        <v>46219.233715277776</v>
      </c>
      <c r="B38" s="30">
        <v>46218</v>
      </c>
      <c r="C38">
        <v>2325310</v>
      </c>
      <c r="D38" t="s">
        <v>413</v>
      </c>
      <c r="E38" t="s">
        <v>653</v>
      </c>
      <c r="F38" t="s">
        <v>567</v>
      </c>
      <c r="G38" t="s">
        <v>481</v>
      </c>
      <c r="H38" t="s">
        <v>641</v>
      </c>
      <c r="I38" t="s">
        <v>101</v>
      </c>
      <c r="J38" t="s">
        <v>326</v>
      </c>
      <c r="K38">
        <v>1</v>
      </c>
      <c r="L38">
        <v>1.5</v>
      </c>
      <c r="M38">
        <v>1</v>
      </c>
      <c r="N38">
        <v>1</v>
      </c>
      <c r="P38" t="s">
        <v>1671</v>
      </c>
    </row>
    <row r="39" spans="1:16">
      <c r="A39" s="29">
        <v>46219.236932870372</v>
      </c>
      <c r="B39" s="30">
        <v>46218</v>
      </c>
      <c r="C39">
        <v>2020965</v>
      </c>
      <c r="D39" t="s">
        <v>386</v>
      </c>
      <c r="E39" t="s">
        <v>653</v>
      </c>
      <c r="F39" t="s">
        <v>547</v>
      </c>
      <c r="G39" t="s">
        <v>258</v>
      </c>
      <c r="H39" t="s">
        <v>641</v>
      </c>
      <c r="I39" t="s">
        <v>96</v>
      </c>
      <c r="J39">
        <v>300</v>
      </c>
      <c r="K39">
        <v>0</v>
      </c>
      <c r="L39">
        <v>0</v>
      </c>
      <c r="P39" t="s">
        <v>1675</v>
      </c>
    </row>
    <row r="40" spans="1:16">
      <c r="A40" s="29">
        <v>46219.236932870372</v>
      </c>
      <c r="B40" s="30">
        <v>46218</v>
      </c>
      <c r="C40">
        <v>2020965</v>
      </c>
      <c r="D40" t="s">
        <v>386</v>
      </c>
      <c r="E40" t="s">
        <v>653</v>
      </c>
      <c r="F40" t="s">
        <v>547</v>
      </c>
      <c r="G40" t="s">
        <v>258</v>
      </c>
      <c r="H40" t="s">
        <v>641</v>
      </c>
      <c r="I40" t="s">
        <v>96</v>
      </c>
      <c r="J40">
        <v>308</v>
      </c>
      <c r="K40">
        <v>5</v>
      </c>
      <c r="L40">
        <v>4</v>
      </c>
      <c r="P40" t="s">
        <v>1675</v>
      </c>
    </row>
    <row r="41" spans="1:16">
      <c r="A41" s="29">
        <v>46219.236932870372</v>
      </c>
      <c r="B41" s="30">
        <v>46218</v>
      </c>
      <c r="C41">
        <v>2020965</v>
      </c>
      <c r="D41" t="s">
        <v>386</v>
      </c>
      <c r="E41" t="s">
        <v>653</v>
      </c>
      <c r="F41" t="s">
        <v>547</v>
      </c>
      <c r="G41" t="s">
        <v>258</v>
      </c>
      <c r="H41" t="s">
        <v>641</v>
      </c>
      <c r="I41" t="s">
        <v>96</v>
      </c>
      <c r="J41" t="s">
        <v>54</v>
      </c>
      <c r="K41">
        <v>1</v>
      </c>
      <c r="L41">
        <v>0.5</v>
      </c>
      <c r="M41">
        <v>1</v>
      </c>
      <c r="N41">
        <v>1</v>
      </c>
      <c r="P41" t="s">
        <v>1675</v>
      </c>
    </row>
    <row r="42" spans="1:16">
      <c r="A42" s="29">
        <v>46219.236932870372</v>
      </c>
      <c r="B42" s="30">
        <v>46218</v>
      </c>
      <c r="C42">
        <v>2020965</v>
      </c>
      <c r="D42" t="s">
        <v>386</v>
      </c>
      <c r="E42" t="s">
        <v>653</v>
      </c>
      <c r="F42" t="s">
        <v>547</v>
      </c>
      <c r="G42" t="s">
        <v>258</v>
      </c>
      <c r="H42" t="s">
        <v>641</v>
      </c>
      <c r="I42" t="s">
        <v>96</v>
      </c>
      <c r="J42" t="s">
        <v>451</v>
      </c>
      <c r="K42">
        <v>1</v>
      </c>
      <c r="L42">
        <v>0.5</v>
      </c>
      <c r="M42">
        <v>1</v>
      </c>
      <c r="N42">
        <v>1</v>
      </c>
      <c r="P42" t="s">
        <v>1675</v>
      </c>
    </row>
    <row r="43" spans="1:16">
      <c r="A43" s="29">
        <v>46219.236932870372</v>
      </c>
      <c r="B43" s="30">
        <v>46218</v>
      </c>
      <c r="C43">
        <v>2020965</v>
      </c>
      <c r="D43" t="s">
        <v>386</v>
      </c>
      <c r="E43" t="s">
        <v>653</v>
      </c>
      <c r="F43" t="s">
        <v>547</v>
      </c>
      <c r="G43" t="s">
        <v>258</v>
      </c>
      <c r="H43" t="s">
        <v>641</v>
      </c>
      <c r="I43" t="s">
        <v>96</v>
      </c>
      <c r="J43" t="s">
        <v>455</v>
      </c>
      <c r="K43">
        <v>3</v>
      </c>
      <c r="L43">
        <v>3</v>
      </c>
      <c r="M43">
        <v>1</v>
      </c>
      <c r="N43">
        <v>1</v>
      </c>
      <c r="P43" t="s">
        <v>1675</v>
      </c>
    </row>
    <row r="44" spans="1:16">
      <c r="A44" s="29">
        <v>46219.238842592589</v>
      </c>
      <c r="B44" s="30">
        <v>46218</v>
      </c>
      <c r="C44">
        <v>2020965</v>
      </c>
      <c r="D44" t="s">
        <v>386</v>
      </c>
      <c r="E44" t="s">
        <v>653</v>
      </c>
      <c r="F44" t="s">
        <v>531</v>
      </c>
      <c r="G44" t="s">
        <v>254</v>
      </c>
      <c r="H44" t="s">
        <v>641</v>
      </c>
      <c r="I44" t="s">
        <v>95</v>
      </c>
      <c r="J44">
        <v>104</v>
      </c>
      <c r="K44">
        <v>1</v>
      </c>
      <c r="L44">
        <v>0.33333333333333331</v>
      </c>
      <c r="M44">
        <v>0</v>
      </c>
      <c r="N44">
        <v>1</v>
      </c>
      <c r="P44" t="s">
        <v>1677</v>
      </c>
    </row>
    <row r="45" spans="1:16">
      <c r="A45" s="29">
        <v>46219.238842592589</v>
      </c>
      <c r="B45" s="30">
        <v>46218</v>
      </c>
      <c r="C45">
        <v>2020965</v>
      </c>
      <c r="D45" t="s">
        <v>386</v>
      </c>
      <c r="E45" t="s">
        <v>653</v>
      </c>
      <c r="F45" t="s">
        <v>531</v>
      </c>
      <c r="G45" t="s">
        <v>254</v>
      </c>
      <c r="H45" t="s">
        <v>641</v>
      </c>
      <c r="I45" t="s">
        <v>95</v>
      </c>
      <c r="J45">
        <v>114</v>
      </c>
      <c r="K45">
        <v>1</v>
      </c>
      <c r="L45">
        <v>0.75</v>
      </c>
      <c r="M45">
        <v>0</v>
      </c>
      <c r="N45">
        <v>1</v>
      </c>
      <c r="P45" t="s">
        <v>1677</v>
      </c>
    </row>
    <row r="46" spans="1:16">
      <c r="A46" s="29">
        <v>46219.238842592589</v>
      </c>
      <c r="B46" s="30">
        <v>46218</v>
      </c>
      <c r="C46">
        <v>2020965</v>
      </c>
      <c r="D46" t="s">
        <v>386</v>
      </c>
      <c r="E46" t="s">
        <v>653</v>
      </c>
      <c r="F46" t="s">
        <v>531</v>
      </c>
      <c r="G46" t="s">
        <v>254</v>
      </c>
      <c r="H46" t="s">
        <v>641</v>
      </c>
      <c r="I46" t="s">
        <v>95</v>
      </c>
      <c r="J46" t="s">
        <v>43</v>
      </c>
      <c r="K46">
        <v>2</v>
      </c>
      <c r="L46">
        <v>0.25</v>
      </c>
      <c r="M46">
        <v>0</v>
      </c>
      <c r="N46">
        <v>1</v>
      </c>
      <c r="P46" t="s">
        <v>1677</v>
      </c>
    </row>
    <row r="47" spans="1:16">
      <c r="A47" s="29">
        <v>46219.238842592589</v>
      </c>
      <c r="B47" s="30">
        <v>46218</v>
      </c>
      <c r="C47">
        <v>2020965</v>
      </c>
      <c r="D47" t="s">
        <v>386</v>
      </c>
      <c r="E47" t="s">
        <v>653</v>
      </c>
      <c r="F47" t="s">
        <v>531</v>
      </c>
      <c r="G47" t="s">
        <v>254</v>
      </c>
      <c r="H47" t="s">
        <v>641</v>
      </c>
      <c r="I47" t="s">
        <v>95</v>
      </c>
      <c r="J47" t="s">
        <v>45</v>
      </c>
      <c r="K47">
        <v>2</v>
      </c>
      <c r="L47">
        <v>0.5</v>
      </c>
      <c r="M47">
        <v>0</v>
      </c>
      <c r="N47">
        <v>1</v>
      </c>
      <c r="P47" t="s">
        <v>1677</v>
      </c>
    </row>
    <row r="48" spans="1:16">
      <c r="A48" s="29">
        <v>46219.238842592589</v>
      </c>
      <c r="B48" s="30">
        <v>46218</v>
      </c>
      <c r="C48">
        <v>2020965</v>
      </c>
      <c r="D48" t="s">
        <v>386</v>
      </c>
      <c r="E48" t="s">
        <v>653</v>
      </c>
      <c r="F48" t="s">
        <v>531</v>
      </c>
      <c r="G48" t="s">
        <v>254</v>
      </c>
      <c r="H48" t="s">
        <v>641</v>
      </c>
      <c r="I48" t="s">
        <v>95</v>
      </c>
      <c r="J48" t="s">
        <v>47</v>
      </c>
      <c r="K48">
        <v>1</v>
      </c>
      <c r="L48">
        <v>1</v>
      </c>
      <c r="M48">
        <v>0</v>
      </c>
      <c r="N48">
        <v>1</v>
      </c>
      <c r="P48" t="s">
        <v>1677</v>
      </c>
    </row>
    <row r="49" spans="1:16">
      <c r="A49" s="29">
        <v>46219.238842592589</v>
      </c>
      <c r="B49" s="30">
        <v>46218</v>
      </c>
      <c r="C49">
        <v>2020965</v>
      </c>
      <c r="D49" t="s">
        <v>386</v>
      </c>
      <c r="E49" t="s">
        <v>653</v>
      </c>
      <c r="F49" t="s">
        <v>531</v>
      </c>
      <c r="G49" t="s">
        <v>254</v>
      </c>
      <c r="H49" t="s">
        <v>641</v>
      </c>
      <c r="I49" t="s">
        <v>95</v>
      </c>
      <c r="J49" t="s">
        <v>49</v>
      </c>
      <c r="K49">
        <v>2</v>
      </c>
      <c r="L49">
        <v>0.25</v>
      </c>
      <c r="M49">
        <v>0</v>
      </c>
      <c r="N49">
        <v>1</v>
      </c>
      <c r="P49" t="s">
        <v>1677</v>
      </c>
    </row>
    <row r="50" spans="1:16">
      <c r="A50" s="29">
        <v>46219.238842592589</v>
      </c>
      <c r="B50" s="30">
        <v>46218</v>
      </c>
      <c r="C50">
        <v>2020965</v>
      </c>
      <c r="D50" t="s">
        <v>386</v>
      </c>
      <c r="E50" t="s">
        <v>653</v>
      </c>
      <c r="F50" t="s">
        <v>531</v>
      </c>
      <c r="G50" t="s">
        <v>254</v>
      </c>
      <c r="H50" t="s">
        <v>641</v>
      </c>
      <c r="I50" t="s">
        <v>95</v>
      </c>
      <c r="J50">
        <v>300</v>
      </c>
      <c r="K50">
        <v>0</v>
      </c>
      <c r="L50">
        <v>0</v>
      </c>
      <c r="P50" t="s">
        <v>1677</v>
      </c>
    </row>
    <row r="51" spans="1:16">
      <c r="A51" s="29">
        <v>46219.238842592589</v>
      </c>
      <c r="B51" s="30">
        <v>46218</v>
      </c>
      <c r="C51">
        <v>2020965</v>
      </c>
      <c r="D51" t="s">
        <v>386</v>
      </c>
      <c r="E51" t="s">
        <v>653</v>
      </c>
      <c r="F51" t="s">
        <v>531</v>
      </c>
      <c r="G51" t="s">
        <v>254</v>
      </c>
      <c r="H51" t="s">
        <v>641</v>
      </c>
      <c r="I51" t="s">
        <v>95</v>
      </c>
      <c r="J51">
        <v>308</v>
      </c>
      <c r="K51">
        <v>2</v>
      </c>
      <c r="L51">
        <v>0.91666666666666674</v>
      </c>
      <c r="P51" t="s">
        <v>1677</v>
      </c>
    </row>
    <row r="52" spans="1:16">
      <c r="A52" s="29">
        <v>46219.238842592589</v>
      </c>
      <c r="B52" s="30">
        <v>46218</v>
      </c>
      <c r="C52">
        <v>2020965</v>
      </c>
      <c r="D52" t="s">
        <v>386</v>
      </c>
      <c r="E52" t="s">
        <v>653</v>
      </c>
      <c r="F52" t="s">
        <v>531</v>
      </c>
      <c r="G52" t="s">
        <v>254</v>
      </c>
      <c r="H52" t="s">
        <v>641</v>
      </c>
      <c r="I52" t="s">
        <v>95</v>
      </c>
      <c r="J52" t="s">
        <v>54</v>
      </c>
      <c r="K52">
        <v>1</v>
      </c>
      <c r="L52">
        <v>0.5</v>
      </c>
      <c r="M52">
        <v>1</v>
      </c>
      <c r="N52">
        <v>1</v>
      </c>
      <c r="P52" t="s">
        <v>1677</v>
      </c>
    </row>
    <row r="53" spans="1:16">
      <c r="A53" s="29">
        <v>46219.238842592589</v>
      </c>
      <c r="B53" s="30">
        <v>46218</v>
      </c>
      <c r="C53">
        <v>2020965</v>
      </c>
      <c r="D53" t="s">
        <v>386</v>
      </c>
      <c r="E53" t="s">
        <v>653</v>
      </c>
      <c r="F53" t="s">
        <v>531</v>
      </c>
      <c r="G53" t="s">
        <v>254</v>
      </c>
      <c r="H53" t="s">
        <v>641</v>
      </c>
      <c r="I53" t="s">
        <v>95</v>
      </c>
      <c r="J53" t="s">
        <v>455</v>
      </c>
      <c r="K53">
        <v>1</v>
      </c>
      <c r="L53">
        <v>0.41666666666666669</v>
      </c>
      <c r="M53">
        <v>1</v>
      </c>
      <c r="N53">
        <v>1</v>
      </c>
      <c r="P53" t="s">
        <v>1677</v>
      </c>
    </row>
    <row r="54" spans="1:16">
      <c r="A54" s="29">
        <v>46219.3046875</v>
      </c>
      <c r="B54" s="30">
        <v>46218</v>
      </c>
      <c r="C54">
        <v>2020488</v>
      </c>
      <c r="D54" t="s">
        <v>383</v>
      </c>
      <c r="E54" t="s">
        <v>653</v>
      </c>
      <c r="F54" t="s">
        <v>670</v>
      </c>
      <c r="G54" t="s">
        <v>1680</v>
      </c>
      <c r="H54" t="s">
        <v>641</v>
      </c>
      <c r="I54" t="s">
        <v>98</v>
      </c>
      <c r="J54">
        <v>300</v>
      </c>
      <c r="K54">
        <v>0</v>
      </c>
      <c r="L54">
        <v>0</v>
      </c>
      <c r="P54" t="s">
        <v>1681</v>
      </c>
    </row>
    <row r="55" spans="1:16">
      <c r="A55" s="29">
        <v>46219.3046875</v>
      </c>
      <c r="B55" s="30">
        <v>46218</v>
      </c>
      <c r="C55">
        <v>2020488</v>
      </c>
      <c r="D55" t="s">
        <v>383</v>
      </c>
      <c r="E55" t="s">
        <v>653</v>
      </c>
      <c r="F55" t="s">
        <v>670</v>
      </c>
      <c r="G55" t="s">
        <v>1680</v>
      </c>
      <c r="H55" t="s">
        <v>641</v>
      </c>
      <c r="I55" t="s">
        <v>98</v>
      </c>
      <c r="J55">
        <v>308</v>
      </c>
      <c r="K55">
        <v>0</v>
      </c>
      <c r="L55">
        <v>0</v>
      </c>
      <c r="P55" t="s">
        <v>1681</v>
      </c>
    </row>
    <row r="56" spans="1:16">
      <c r="A56" s="29">
        <v>46224.250185185185</v>
      </c>
      <c r="B56" s="30">
        <v>46223</v>
      </c>
      <c r="C56">
        <v>2021742</v>
      </c>
      <c r="D56" t="s">
        <v>391</v>
      </c>
      <c r="E56" t="s">
        <v>653</v>
      </c>
      <c r="F56" t="s">
        <v>547</v>
      </c>
      <c r="G56" t="s">
        <v>258</v>
      </c>
      <c r="H56" t="s">
        <v>641</v>
      </c>
      <c r="I56" t="s">
        <v>96</v>
      </c>
      <c r="J56">
        <v>300</v>
      </c>
      <c r="K56">
        <v>0</v>
      </c>
      <c r="L56">
        <v>0</v>
      </c>
      <c r="P56" t="s">
        <v>1820</v>
      </c>
    </row>
    <row r="57" spans="1:16">
      <c r="A57" s="29">
        <v>46224.250185185185</v>
      </c>
      <c r="B57" s="30">
        <v>46223</v>
      </c>
      <c r="C57">
        <v>2021742</v>
      </c>
      <c r="D57" t="s">
        <v>391</v>
      </c>
      <c r="E57" t="s">
        <v>653</v>
      </c>
      <c r="F57" t="s">
        <v>547</v>
      </c>
      <c r="G57" t="s">
        <v>258</v>
      </c>
      <c r="H57" t="s">
        <v>641</v>
      </c>
      <c r="I57" t="s">
        <v>96</v>
      </c>
      <c r="J57">
        <v>308</v>
      </c>
      <c r="K57">
        <v>0</v>
      </c>
      <c r="L57">
        <v>0</v>
      </c>
      <c r="P57" t="s">
        <v>1820</v>
      </c>
    </row>
    <row r="58" spans="1:16">
      <c r="A58" s="29">
        <v>46224.522407407407</v>
      </c>
      <c r="B58" s="30">
        <v>46224</v>
      </c>
      <c r="C58">
        <v>2241656</v>
      </c>
      <c r="D58" t="s">
        <v>409</v>
      </c>
      <c r="E58" t="s">
        <v>659</v>
      </c>
      <c r="F58" t="s">
        <v>547</v>
      </c>
      <c r="G58" t="s">
        <v>258</v>
      </c>
      <c r="H58" t="s">
        <v>641</v>
      </c>
      <c r="I58" t="s">
        <v>96</v>
      </c>
      <c r="J58">
        <v>300</v>
      </c>
      <c r="K58">
        <v>0</v>
      </c>
      <c r="L58">
        <v>0</v>
      </c>
      <c r="P58" t="s">
        <v>1828</v>
      </c>
    </row>
    <row r="59" spans="1:16">
      <c r="A59" s="29">
        <v>46224.522407407407</v>
      </c>
      <c r="B59" s="30">
        <v>46224</v>
      </c>
      <c r="C59">
        <v>2241656</v>
      </c>
      <c r="D59" t="s">
        <v>409</v>
      </c>
      <c r="E59" t="s">
        <v>659</v>
      </c>
      <c r="F59" t="s">
        <v>547</v>
      </c>
      <c r="G59" t="s">
        <v>258</v>
      </c>
      <c r="H59" t="s">
        <v>641</v>
      </c>
      <c r="I59" t="s">
        <v>96</v>
      </c>
      <c r="J59">
        <v>308</v>
      </c>
      <c r="K59">
        <v>0</v>
      </c>
      <c r="L59">
        <v>0</v>
      </c>
      <c r="P59" t="s">
        <v>1828</v>
      </c>
    </row>
    <row r="60" spans="1:16">
      <c r="A60" s="29"/>
      <c r="B60" s="30"/>
    </row>
    <row r="61" spans="1:16">
      <c r="A61" s="29"/>
      <c r="B61" s="30"/>
    </row>
    <row r="62" spans="1:16">
      <c r="A62" s="29"/>
      <c r="B62" s="30"/>
    </row>
    <row r="63" spans="1:16">
      <c r="A63" s="29"/>
      <c r="B63" s="30"/>
    </row>
    <row r="64" spans="1:16">
      <c r="A64" s="29"/>
      <c r="B64" s="30"/>
    </row>
    <row r="65" spans="1:2">
      <c r="A65" s="29"/>
      <c r="B65" s="30"/>
    </row>
    <row r="66" spans="1:2">
      <c r="A66" s="29"/>
      <c r="B66" s="30"/>
    </row>
    <row r="67" spans="1:2">
      <c r="A67" s="29"/>
      <c r="B67" s="30"/>
    </row>
    <row r="68" spans="1:2">
      <c r="A68" s="29"/>
      <c r="B68" s="30"/>
    </row>
    <row r="69" spans="1:2">
      <c r="A69" s="29"/>
      <c r="B69" s="30"/>
    </row>
    <row r="70" spans="1:2">
      <c r="A70" s="29"/>
      <c r="B70" s="30"/>
    </row>
    <row r="71" spans="1:2">
      <c r="A71" s="29"/>
      <c r="B71" s="30"/>
    </row>
    <row r="72" spans="1:2">
      <c r="A72" s="29"/>
      <c r="B72" s="30"/>
    </row>
    <row r="73" spans="1:2">
      <c r="A73" s="29"/>
      <c r="B73" s="30"/>
    </row>
    <row r="74" spans="1:2">
      <c r="A74" s="29"/>
      <c r="B74" s="30"/>
    </row>
    <row r="75" spans="1:2">
      <c r="A75" s="29"/>
      <c r="B75" s="30"/>
    </row>
    <row r="76" spans="1:2">
      <c r="A76" s="29"/>
      <c r="B76" s="30"/>
    </row>
    <row r="77" spans="1:2">
      <c r="A77" s="29"/>
      <c r="B77" s="30"/>
    </row>
    <row r="78" spans="1:2">
      <c r="A78" s="29"/>
      <c r="B78" s="30"/>
    </row>
    <row r="79" spans="1:2">
      <c r="A79" s="29"/>
      <c r="B79" s="30"/>
    </row>
    <row r="80" spans="1:2">
      <c r="A80" s="29"/>
      <c r="B80" s="30"/>
    </row>
    <row r="81" spans="1:2">
      <c r="A81" s="29"/>
      <c r="B81" s="30"/>
    </row>
    <row r="82" spans="1:2">
      <c r="A82" s="29"/>
      <c r="B82" s="30"/>
    </row>
    <row r="83" spans="1:2">
      <c r="A83" s="29"/>
      <c r="B83" s="30"/>
    </row>
    <row r="84" spans="1:2">
      <c r="A84" s="29"/>
      <c r="B84" s="30"/>
    </row>
    <row r="85" spans="1:2">
      <c r="A85" s="29"/>
      <c r="B85" s="30"/>
    </row>
    <row r="86" spans="1:2">
      <c r="A86" s="29"/>
      <c r="B86" s="30"/>
    </row>
    <row r="87" spans="1:2">
      <c r="A87" s="29"/>
      <c r="B87" s="30"/>
    </row>
    <row r="88" spans="1:2">
      <c r="A88" s="29"/>
      <c r="B88" s="30"/>
    </row>
    <row r="89" spans="1:2">
      <c r="A89" s="29"/>
      <c r="B89" s="30"/>
    </row>
    <row r="90" spans="1:2">
      <c r="A90" s="29"/>
      <c r="B90" s="30"/>
    </row>
    <row r="91" spans="1:2">
      <c r="A91" s="29"/>
      <c r="B91" s="30"/>
    </row>
    <row r="92" spans="1:2">
      <c r="A92" s="29"/>
      <c r="B92" s="30"/>
    </row>
    <row r="93" spans="1:2">
      <c r="A93" s="29"/>
      <c r="B93" s="30"/>
    </row>
    <row r="94" spans="1:2">
      <c r="A94" s="29"/>
      <c r="B94" s="30"/>
    </row>
    <row r="95" spans="1:2">
      <c r="A95" s="29"/>
      <c r="B95" s="30"/>
    </row>
    <row r="96" spans="1:2">
      <c r="A96" s="29"/>
      <c r="B96" s="30"/>
    </row>
    <row r="97" spans="1:2">
      <c r="A97" s="29"/>
      <c r="B97" s="30"/>
    </row>
    <row r="98" spans="1:2">
      <c r="A98" s="29"/>
      <c r="B98" s="30"/>
    </row>
    <row r="99" spans="1:2">
      <c r="A99" s="29"/>
      <c r="B99" s="30"/>
    </row>
    <row r="100" spans="1:2">
      <c r="A100" s="29"/>
      <c r="B100" s="30"/>
    </row>
    <row r="101" spans="1:2">
      <c r="A101" s="29"/>
      <c r="B101" s="30"/>
    </row>
    <row r="102" spans="1:2">
      <c r="A102" s="29"/>
      <c r="B102" s="30"/>
    </row>
    <row r="103" spans="1:2">
      <c r="A103" s="29"/>
      <c r="B103" s="30"/>
    </row>
    <row r="104" spans="1:2">
      <c r="A104" s="29"/>
      <c r="B104" s="30"/>
    </row>
    <row r="105" spans="1:2">
      <c r="A105" s="29"/>
      <c r="B105" s="30"/>
    </row>
    <row r="106" spans="1:2">
      <c r="A106" s="29"/>
      <c r="B106" s="30"/>
    </row>
    <row r="107" spans="1:2">
      <c r="A107" s="29"/>
      <c r="B107" s="30"/>
    </row>
    <row r="108" spans="1:2">
      <c r="A108" s="29"/>
      <c r="B108" s="30"/>
    </row>
    <row r="109" spans="1:2">
      <c r="A109" s="29"/>
      <c r="B109" s="30"/>
    </row>
    <row r="110" spans="1:2">
      <c r="A110" s="29"/>
      <c r="B110" s="30"/>
    </row>
    <row r="111" spans="1:2">
      <c r="A111" s="29"/>
      <c r="B111" s="30"/>
    </row>
    <row r="112" spans="1:2">
      <c r="A112" s="29"/>
      <c r="B112" s="30"/>
    </row>
    <row r="113" spans="1:2">
      <c r="A113" s="29"/>
      <c r="B113" s="30"/>
    </row>
    <row r="114" spans="1:2">
      <c r="A114" s="29"/>
      <c r="B114" s="30"/>
    </row>
    <row r="115" spans="1:2">
      <c r="A115" s="29"/>
      <c r="B115" s="30"/>
    </row>
    <row r="116" spans="1:2">
      <c r="A116" s="29"/>
      <c r="B116" s="30"/>
    </row>
    <row r="117" spans="1:2">
      <c r="A117" s="29"/>
      <c r="B117" s="30"/>
    </row>
    <row r="118" spans="1:2">
      <c r="A118" s="29"/>
      <c r="B118" s="30"/>
    </row>
    <row r="119" spans="1:2">
      <c r="A119" s="29"/>
      <c r="B119" s="30"/>
    </row>
    <row r="120" spans="1:2">
      <c r="A120" s="29"/>
      <c r="B120" s="30"/>
    </row>
    <row r="121" spans="1:2">
      <c r="A121" s="29"/>
      <c r="B121" s="30"/>
    </row>
    <row r="122" spans="1:2">
      <c r="A122" s="29"/>
      <c r="B122" s="30"/>
    </row>
    <row r="123" spans="1:2">
      <c r="A123" s="29"/>
      <c r="B123" s="30"/>
    </row>
    <row r="124" spans="1:2">
      <c r="A124" s="29"/>
      <c r="B124" s="30"/>
    </row>
    <row r="125" spans="1:2">
      <c r="A125" s="29"/>
      <c r="B125" s="30"/>
    </row>
    <row r="126" spans="1:2">
      <c r="A126" s="29"/>
      <c r="B126" s="30"/>
    </row>
    <row r="127" spans="1:2">
      <c r="A127" s="29"/>
      <c r="B127" s="30"/>
    </row>
    <row r="128" spans="1:2">
      <c r="A128" s="29"/>
      <c r="B128" s="30"/>
    </row>
    <row r="129" spans="1:2">
      <c r="A129" s="29"/>
      <c r="B129" s="30"/>
    </row>
    <row r="130" spans="1:2">
      <c r="A130" s="29"/>
      <c r="B130" s="30"/>
    </row>
    <row r="131" spans="1:2">
      <c r="A131" s="29"/>
      <c r="B131" s="30"/>
    </row>
    <row r="132" spans="1:2">
      <c r="A132" s="29"/>
      <c r="B132" s="30"/>
    </row>
    <row r="133" spans="1:2">
      <c r="A133" s="29"/>
      <c r="B133" s="30"/>
    </row>
    <row r="134" spans="1:2">
      <c r="A134" s="29"/>
      <c r="B134" s="30"/>
    </row>
    <row r="135" spans="1:2">
      <c r="A135" s="29"/>
      <c r="B135" s="30"/>
    </row>
    <row r="136" spans="1:2">
      <c r="A136" s="29"/>
      <c r="B136" s="30"/>
    </row>
    <row r="137" spans="1:2">
      <c r="A137" s="29"/>
      <c r="B137" s="30"/>
    </row>
    <row r="138" spans="1:2">
      <c r="A138" s="29"/>
      <c r="B138" s="30"/>
    </row>
    <row r="139" spans="1:2">
      <c r="A139" s="29"/>
      <c r="B139" s="30"/>
    </row>
    <row r="140" spans="1:2">
      <c r="A140" s="29"/>
      <c r="B140" s="30"/>
    </row>
    <row r="141" spans="1:2">
      <c r="A141" s="29"/>
      <c r="B141" s="30"/>
    </row>
    <row r="142" spans="1:2">
      <c r="A142" s="29"/>
      <c r="B142" s="30"/>
    </row>
    <row r="143" spans="1:2">
      <c r="A143" s="29"/>
      <c r="B143" s="30"/>
    </row>
    <row r="144" spans="1:2">
      <c r="A144" s="29"/>
      <c r="B144" s="30"/>
    </row>
    <row r="145" spans="1:2">
      <c r="A145" s="29"/>
      <c r="B145" s="30"/>
    </row>
    <row r="146" spans="1:2">
      <c r="A146" s="29"/>
      <c r="B146" s="30"/>
    </row>
    <row r="147" spans="1:2">
      <c r="A147" s="29"/>
      <c r="B147" s="30"/>
    </row>
    <row r="148" spans="1:2">
      <c r="A148" s="29"/>
      <c r="B148" s="30"/>
    </row>
    <row r="149" spans="1:2">
      <c r="A149" s="29"/>
      <c r="B149" s="30"/>
    </row>
    <row r="150" spans="1:2">
      <c r="A150" s="29"/>
      <c r="B150" s="30"/>
    </row>
    <row r="151" spans="1:2">
      <c r="A151" s="29"/>
      <c r="B151" s="30"/>
    </row>
    <row r="152" spans="1:2">
      <c r="A152" s="29"/>
      <c r="B152" s="30"/>
    </row>
    <row r="153" spans="1:2">
      <c r="A153" s="29"/>
      <c r="B153" s="30"/>
    </row>
    <row r="154" spans="1:2">
      <c r="A154" s="29"/>
      <c r="B154" s="30"/>
    </row>
    <row r="155" spans="1:2">
      <c r="A155" s="29"/>
      <c r="B155" s="30"/>
    </row>
    <row r="156" spans="1:2">
      <c r="A156" s="29"/>
      <c r="B156" s="30"/>
    </row>
    <row r="157" spans="1:2">
      <c r="A157" s="29"/>
      <c r="B157" s="30"/>
    </row>
    <row r="158" spans="1:2">
      <c r="A158" s="29"/>
      <c r="B158" s="30"/>
    </row>
    <row r="159" spans="1:2">
      <c r="A159" s="29"/>
      <c r="B159" s="30"/>
    </row>
    <row r="160" spans="1:2">
      <c r="A160" s="29"/>
      <c r="B160" s="30"/>
    </row>
    <row r="161" spans="1:40">
      <c r="A161" s="29"/>
      <c r="B161" s="30"/>
    </row>
    <row r="162" spans="1:40">
      <c r="A162" s="29"/>
      <c r="B162" s="30"/>
    </row>
    <row r="163" spans="1:40">
      <c r="A163" s="29"/>
      <c r="B163" s="30"/>
    </row>
    <row r="164" spans="1:40">
      <c r="A164" s="29"/>
      <c r="B164" s="30"/>
      <c r="AN164" s="113"/>
    </row>
    <row r="165" spans="1:40">
      <c r="A165" s="29"/>
      <c r="B165" s="30"/>
    </row>
    <row r="166" spans="1:40">
      <c r="A166" s="29"/>
      <c r="B166" s="30"/>
    </row>
    <row r="167" spans="1:40">
      <c r="A167" s="29"/>
      <c r="B167" s="30"/>
    </row>
    <row r="168" spans="1:40">
      <c r="A168" s="29"/>
      <c r="B168" s="30"/>
    </row>
    <row r="169" spans="1:40">
      <c r="A169" s="29"/>
      <c r="B169" s="30"/>
    </row>
    <row r="170" spans="1:40">
      <c r="A170" s="29"/>
      <c r="B170" s="30"/>
    </row>
    <row r="171" spans="1:40">
      <c r="A171" s="29"/>
      <c r="B171" s="30"/>
    </row>
    <row r="172" spans="1:40">
      <c r="A172" s="29"/>
      <c r="B172" s="30"/>
    </row>
    <row r="173" spans="1:40">
      <c r="A173" s="29"/>
      <c r="B173" s="30"/>
    </row>
    <row r="174" spans="1:40">
      <c r="A174" s="29"/>
      <c r="B174" s="30"/>
    </row>
    <row r="175" spans="1:40">
      <c r="A175" s="29"/>
      <c r="B175" s="30"/>
    </row>
    <row r="176" spans="1:40">
      <c r="A176" s="29"/>
      <c r="B176" s="30"/>
    </row>
    <row r="177" spans="1:2">
      <c r="A177" s="29"/>
      <c r="B177" s="30"/>
    </row>
    <row r="178" spans="1:2">
      <c r="A178" s="29"/>
      <c r="B178" s="30"/>
    </row>
    <row r="179" spans="1:2">
      <c r="A179" s="29"/>
      <c r="B179" s="30"/>
    </row>
    <row r="180" spans="1:2">
      <c r="A180" s="29"/>
      <c r="B180" s="30"/>
    </row>
    <row r="181" spans="1:2">
      <c r="A181" s="29"/>
      <c r="B181" s="30"/>
    </row>
    <row r="182" spans="1:2">
      <c r="A182" s="29"/>
      <c r="B182" s="30"/>
    </row>
    <row r="183" spans="1:2">
      <c r="A183" s="29"/>
      <c r="B183" s="30"/>
    </row>
    <row r="184" spans="1:2">
      <c r="A184" s="29"/>
      <c r="B184" s="30"/>
    </row>
    <row r="185" spans="1:2">
      <c r="A185" s="29"/>
      <c r="B185" s="30"/>
    </row>
    <row r="186" spans="1:2">
      <c r="A186" s="29"/>
      <c r="B186" s="30"/>
    </row>
    <row r="187" spans="1:2">
      <c r="A187" s="29"/>
      <c r="B187" s="30"/>
    </row>
    <row r="188" spans="1:2">
      <c r="A188" s="29"/>
      <c r="B188" s="30"/>
    </row>
    <row r="189" spans="1:2">
      <c r="A189" s="29"/>
      <c r="B189" s="30"/>
    </row>
    <row r="190" spans="1:2">
      <c r="A190" s="29"/>
      <c r="B190" s="30"/>
    </row>
    <row r="191" spans="1:2">
      <c r="A191" s="29"/>
      <c r="B191" s="30"/>
    </row>
    <row r="192" spans="1:2">
      <c r="A192" s="29"/>
      <c r="B192" s="30"/>
    </row>
    <row r="193" spans="1:2">
      <c r="A193" s="29"/>
      <c r="B193" s="30"/>
    </row>
    <row r="194" spans="1:2">
      <c r="A194" s="29"/>
      <c r="B194" s="30"/>
    </row>
    <row r="195" spans="1:2">
      <c r="A195" s="29"/>
      <c r="B195" s="30"/>
    </row>
    <row r="196" spans="1:2">
      <c r="A196" s="29"/>
      <c r="B196" s="30"/>
    </row>
    <row r="197" spans="1:2">
      <c r="A197" s="29"/>
      <c r="B197" s="30"/>
    </row>
    <row r="198" spans="1:2">
      <c r="A198" s="29"/>
      <c r="B198" s="30"/>
    </row>
    <row r="199" spans="1:2">
      <c r="A199" s="29"/>
      <c r="B199" s="30"/>
    </row>
    <row r="200" spans="1:2">
      <c r="A200" s="29"/>
      <c r="B200" s="30"/>
    </row>
    <row r="201" spans="1:2">
      <c r="A201" s="29"/>
      <c r="B201" s="30"/>
    </row>
    <row r="202" spans="1:2">
      <c r="A202" s="29"/>
      <c r="B202" s="30"/>
    </row>
    <row r="203" spans="1:2">
      <c r="A203" s="29"/>
      <c r="B203" s="30"/>
    </row>
    <row r="204" spans="1:2">
      <c r="A204" s="29"/>
      <c r="B204" s="30"/>
    </row>
    <row r="205" spans="1:2">
      <c r="A205" s="29"/>
      <c r="B205" s="30"/>
    </row>
    <row r="206" spans="1:2">
      <c r="A206" s="29"/>
      <c r="B206" s="30"/>
    </row>
    <row r="207" spans="1:2">
      <c r="A207" s="29"/>
      <c r="B207" s="30"/>
    </row>
    <row r="208" spans="1:2">
      <c r="A208" s="29"/>
      <c r="B208" s="30"/>
    </row>
    <row r="209" spans="1:2">
      <c r="A209" s="29"/>
      <c r="B209" s="30"/>
    </row>
    <row r="210" spans="1:2">
      <c r="A210" s="29"/>
      <c r="B210" s="30"/>
    </row>
    <row r="211" spans="1:2">
      <c r="A211" s="29"/>
      <c r="B211" s="30"/>
    </row>
    <row r="212" spans="1:2">
      <c r="A212" s="29"/>
      <c r="B212" s="30"/>
    </row>
    <row r="213" spans="1:2">
      <c r="A213" s="29"/>
      <c r="B213" s="30"/>
    </row>
    <row r="214" spans="1:2">
      <c r="A214" s="29"/>
      <c r="B214" s="30"/>
    </row>
    <row r="215" spans="1:2">
      <c r="A215" s="29"/>
      <c r="B215" s="30"/>
    </row>
    <row r="216" spans="1:2">
      <c r="A216" s="29"/>
      <c r="B216" s="30"/>
    </row>
    <row r="217" spans="1:2">
      <c r="A217" s="29"/>
      <c r="B217" s="30"/>
    </row>
    <row r="218" spans="1:2">
      <c r="A218" s="29"/>
      <c r="B218" s="30"/>
    </row>
    <row r="219" spans="1:2">
      <c r="A219" s="29"/>
      <c r="B219" s="30"/>
    </row>
    <row r="220" spans="1:2">
      <c r="A220" s="29"/>
      <c r="B220" s="30"/>
    </row>
    <row r="221" spans="1:2">
      <c r="A221" s="29"/>
      <c r="B221" s="30"/>
    </row>
    <row r="222" spans="1:2">
      <c r="A222" s="29"/>
      <c r="B222" s="30"/>
    </row>
    <row r="223" spans="1:2">
      <c r="A223" s="29"/>
      <c r="B223" s="30"/>
    </row>
    <row r="224" spans="1:2">
      <c r="A224" s="29"/>
      <c r="B224" s="30"/>
    </row>
    <row r="225" spans="1:2">
      <c r="A225" s="29"/>
      <c r="B225" s="30"/>
    </row>
    <row r="226" spans="1:2">
      <c r="A226" s="29"/>
      <c r="B226" s="30"/>
    </row>
    <row r="227" spans="1:2">
      <c r="A227" s="29"/>
      <c r="B227" s="30"/>
    </row>
    <row r="228" spans="1:2">
      <c r="A228" s="29"/>
      <c r="B228" s="30"/>
    </row>
    <row r="229" spans="1:2">
      <c r="A229" s="29"/>
      <c r="B229" s="30"/>
    </row>
    <row r="230" spans="1:2">
      <c r="A230" s="29"/>
      <c r="B230" s="30"/>
    </row>
    <row r="231" spans="1:2">
      <c r="A231" s="29"/>
      <c r="B231" s="30"/>
    </row>
    <row r="232" spans="1:2">
      <c r="A232" s="29"/>
      <c r="B232" s="30"/>
    </row>
    <row r="233" spans="1:2">
      <c r="A233" s="29"/>
      <c r="B233" s="30"/>
    </row>
    <row r="234" spans="1:2">
      <c r="A234" s="29"/>
      <c r="B234" s="30"/>
    </row>
    <row r="235" spans="1:2">
      <c r="A235" s="29"/>
      <c r="B235" s="30"/>
    </row>
    <row r="236" spans="1:2">
      <c r="A236" s="29"/>
      <c r="B236" s="30"/>
    </row>
    <row r="237" spans="1:2">
      <c r="A237" s="29"/>
      <c r="B237" s="30"/>
    </row>
    <row r="238" spans="1:2">
      <c r="A238" s="29"/>
      <c r="B238" s="30"/>
    </row>
    <row r="239" spans="1:2">
      <c r="A239" s="29"/>
      <c r="B239" s="30"/>
    </row>
    <row r="240" spans="1:2">
      <c r="A240" s="29"/>
      <c r="B240" s="30"/>
    </row>
    <row r="241" spans="1:2">
      <c r="A241" s="29"/>
      <c r="B241" s="30"/>
    </row>
    <row r="242" spans="1:2">
      <c r="A242" s="29"/>
      <c r="B242" s="30"/>
    </row>
    <row r="243" spans="1:2">
      <c r="A243" s="29"/>
      <c r="B243" s="30"/>
    </row>
    <row r="244" spans="1:2">
      <c r="A244" s="29"/>
      <c r="B244" s="30"/>
    </row>
    <row r="245" spans="1:2">
      <c r="A245" s="29"/>
      <c r="B245" s="30"/>
    </row>
    <row r="246" spans="1:2">
      <c r="A246" s="29"/>
      <c r="B246" s="30"/>
    </row>
    <row r="247" spans="1:2">
      <c r="A247" s="29"/>
      <c r="B247" s="30"/>
    </row>
    <row r="248" spans="1:2">
      <c r="A248" s="29"/>
      <c r="B248" s="30"/>
    </row>
    <row r="249" spans="1:2">
      <c r="A249" s="29"/>
      <c r="B249" s="30"/>
    </row>
    <row r="250" spans="1:2">
      <c r="A250" s="29"/>
      <c r="B250" s="30"/>
    </row>
    <row r="251" spans="1:2">
      <c r="A251" s="29"/>
      <c r="B251" s="30"/>
    </row>
    <row r="252" spans="1:2">
      <c r="A252" s="29"/>
      <c r="B252" s="30"/>
    </row>
    <row r="253" spans="1:2">
      <c r="A253" s="29"/>
      <c r="B253" s="30"/>
    </row>
    <row r="254" spans="1:2">
      <c r="A254" s="29"/>
      <c r="B254" s="30"/>
    </row>
    <row r="255" spans="1:2">
      <c r="A255" s="29"/>
      <c r="B255" s="30"/>
    </row>
    <row r="256" spans="1:2">
      <c r="A256" s="29"/>
      <c r="B256" s="30"/>
    </row>
    <row r="257" spans="1:2">
      <c r="A257" s="29"/>
      <c r="B257" s="30"/>
    </row>
    <row r="258" spans="1:2">
      <c r="A258" s="29"/>
      <c r="B258" s="30"/>
    </row>
    <row r="259" spans="1:2">
      <c r="A259" s="29"/>
      <c r="B259" s="30"/>
    </row>
    <row r="260" spans="1:2">
      <c r="A260" s="29"/>
      <c r="B260" s="30"/>
    </row>
    <row r="261" spans="1:2">
      <c r="A261" s="29"/>
      <c r="B261" s="30"/>
    </row>
    <row r="262" spans="1:2">
      <c r="A262" s="29"/>
      <c r="B262" s="30"/>
    </row>
    <row r="263" spans="1:2">
      <c r="A263" s="29"/>
      <c r="B263" s="30"/>
    </row>
    <row r="264" spans="1:2">
      <c r="A264" s="29"/>
      <c r="B264" s="30"/>
    </row>
    <row r="265" spans="1:2">
      <c r="A265" s="29"/>
      <c r="B265" s="30"/>
    </row>
    <row r="266" spans="1:2">
      <c r="A266" s="29"/>
      <c r="B266" s="30"/>
    </row>
    <row r="267" spans="1:2">
      <c r="A267" s="29"/>
      <c r="B267" s="30"/>
    </row>
    <row r="268" spans="1:2">
      <c r="A268" s="29"/>
      <c r="B268" s="30"/>
    </row>
    <row r="269" spans="1:2">
      <c r="A269" s="29"/>
      <c r="B269" s="30"/>
    </row>
    <row r="270" spans="1:2" ht="15.75" customHeight="1">
      <c r="A270" s="29"/>
      <c r="B270" s="30"/>
    </row>
    <row r="271" spans="1:2">
      <c r="A271" s="29"/>
      <c r="B271" s="30"/>
    </row>
    <row r="272" spans="1:2">
      <c r="A272" s="29"/>
      <c r="B272" s="30"/>
    </row>
    <row r="273" spans="1:2">
      <c r="A273" s="29"/>
      <c r="B273" s="30"/>
    </row>
    <row r="274" spans="1:2">
      <c r="A274" s="29"/>
      <c r="B274" s="30"/>
    </row>
    <row r="275" spans="1:2">
      <c r="A275" s="29"/>
      <c r="B275" s="30"/>
    </row>
    <row r="276" spans="1:2">
      <c r="A276" s="29"/>
      <c r="B276" s="30"/>
    </row>
    <row r="277" spans="1:2">
      <c r="A277" s="29"/>
      <c r="B277" s="30"/>
    </row>
    <row r="278" spans="1:2">
      <c r="A278" s="29"/>
      <c r="B278" s="30"/>
    </row>
    <row r="279" spans="1:2">
      <c r="A279" s="29"/>
      <c r="B279" s="30"/>
    </row>
    <row r="280" spans="1:2">
      <c r="A280" s="29"/>
      <c r="B280" s="30"/>
    </row>
    <row r="281" spans="1:2">
      <c r="A281" s="29"/>
      <c r="B281" s="30"/>
    </row>
    <row r="282" spans="1:2">
      <c r="A282" s="29"/>
      <c r="B282" s="30"/>
    </row>
    <row r="283" spans="1:2">
      <c r="A283" s="29"/>
      <c r="B283" s="30"/>
    </row>
    <row r="284" spans="1:2">
      <c r="A284" s="29"/>
      <c r="B284" s="30"/>
    </row>
    <row r="285" spans="1:2">
      <c r="A285" s="29"/>
      <c r="B285" s="30"/>
    </row>
    <row r="286" spans="1:2">
      <c r="A286" s="29"/>
      <c r="B286" s="30"/>
    </row>
    <row r="287" spans="1:2">
      <c r="A287" s="29"/>
      <c r="B287" s="30"/>
    </row>
    <row r="288" spans="1:2">
      <c r="A288" s="29"/>
      <c r="B288" s="30"/>
    </row>
    <row r="289" spans="1:2">
      <c r="A289" s="29"/>
      <c r="B289" s="30"/>
    </row>
    <row r="290" spans="1:2">
      <c r="A290" s="29"/>
      <c r="B290" s="30"/>
    </row>
    <row r="291" spans="1:2">
      <c r="A291" s="29"/>
      <c r="B291" s="30"/>
    </row>
    <row r="292" spans="1:2">
      <c r="A292" s="29"/>
      <c r="B292" s="30"/>
    </row>
    <row r="293" spans="1:2">
      <c r="A293" s="29"/>
      <c r="B293" s="30"/>
    </row>
    <row r="294" spans="1:2">
      <c r="A294" s="29"/>
      <c r="B294" s="30"/>
    </row>
    <row r="295" spans="1:2">
      <c r="A295" s="29"/>
      <c r="B295" s="30"/>
    </row>
    <row r="296" spans="1:2">
      <c r="A296" s="29"/>
      <c r="B296" s="30"/>
    </row>
    <row r="297" spans="1:2">
      <c r="A297" s="29"/>
      <c r="B297" s="30"/>
    </row>
    <row r="298" spans="1:2">
      <c r="A298" s="29"/>
      <c r="B298" s="30"/>
    </row>
    <row r="299" spans="1:2">
      <c r="A299" s="29"/>
      <c r="B299" s="30"/>
    </row>
    <row r="300" spans="1:2">
      <c r="A300" s="29"/>
      <c r="B300" s="30"/>
    </row>
    <row r="301" spans="1:2">
      <c r="A301" s="29"/>
      <c r="B301" s="30"/>
    </row>
    <row r="302" spans="1:2">
      <c r="A302" s="29"/>
      <c r="B302" s="30"/>
    </row>
    <row r="303" spans="1:2">
      <c r="A303" s="29"/>
      <c r="B303" s="30"/>
    </row>
    <row r="304" spans="1:2">
      <c r="A304" s="29"/>
      <c r="B304" s="30"/>
    </row>
    <row r="305" spans="1:2">
      <c r="A305" s="29"/>
      <c r="B305" s="30"/>
    </row>
    <row r="306" spans="1:2">
      <c r="A306" s="29"/>
      <c r="B306" s="30"/>
    </row>
    <row r="307" spans="1:2">
      <c r="A307" s="29"/>
      <c r="B307" s="30"/>
    </row>
    <row r="308" spans="1:2">
      <c r="A308" s="29"/>
      <c r="B308" s="30"/>
    </row>
    <row r="309" spans="1:2">
      <c r="A309" s="29"/>
      <c r="B309" s="30"/>
    </row>
    <row r="310" spans="1:2">
      <c r="A310" s="29"/>
      <c r="B310" s="30"/>
    </row>
    <row r="311" spans="1:2">
      <c r="A311" s="29"/>
      <c r="B311" s="30"/>
    </row>
    <row r="312" spans="1:2">
      <c r="A312" s="29"/>
      <c r="B312" s="30"/>
    </row>
    <row r="313" spans="1:2">
      <c r="A313" s="29"/>
      <c r="B313" s="30"/>
    </row>
    <row r="314" spans="1:2">
      <c r="A314" s="29"/>
      <c r="B314" s="30"/>
    </row>
    <row r="315" spans="1:2">
      <c r="A315" s="29"/>
      <c r="B315" s="30"/>
    </row>
    <row r="316" spans="1:2">
      <c r="A316" s="29"/>
      <c r="B316" s="30"/>
    </row>
    <row r="317" spans="1:2">
      <c r="A317" s="29"/>
      <c r="B317" s="30"/>
    </row>
    <row r="318" spans="1:2">
      <c r="A318" s="29"/>
      <c r="B318" s="30"/>
    </row>
    <row r="319" spans="1:2">
      <c r="A319" s="29"/>
      <c r="B319" s="30"/>
    </row>
    <row r="320" spans="1:2">
      <c r="A320" s="29"/>
      <c r="B320" s="30"/>
    </row>
    <row r="321" spans="1:2">
      <c r="A321" s="29"/>
      <c r="B321" s="30"/>
    </row>
    <row r="322" spans="1:2">
      <c r="A322" s="29"/>
      <c r="B322" s="30"/>
    </row>
    <row r="323" spans="1:2">
      <c r="A323" s="29"/>
      <c r="B323" s="30"/>
    </row>
    <row r="324" spans="1:2">
      <c r="A324" s="29"/>
      <c r="B324" s="30"/>
    </row>
    <row r="325" spans="1:2">
      <c r="A325" s="29"/>
      <c r="B325" s="30"/>
    </row>
    <row r="326" spans="1:2">
      <c r="A326" s="29"/>
      <c r="B326" s="30"/>
    </row>
    <row r="327" spans="1:2">
      <c r="A327" s="29"/>
      <c r="B327" s="30"/>
    </row>
    <row r="328" spans="1:2">
      <c r="A328" s="29"/>
      <c r="B328" s="30"/>
    </row>
    <row r="329" spans="1:2">
      <c r="A329" s="29"/>
      <c r="B329" s="30"/>
    </row>
    <row r="330" spans="1:2">
      <c r="A330" s="29"/>
      <c r="B330" s="30"/>
    </row>
    <row r="331" spans="1:2">
      <c r="A331" s="29"/>
      <c r="B331" s="30"/>
    </row>
    <row r="332" spans="1:2">
      <c r="A332" s="29"/>
      <c r="B332" s="30"/>
    </row>
    <row r="333" spans="1:2">
      <c r="A333" s="29"/>
      <c r="B333" s="30"/>
    </row>
    <row r="334" spans="1:2">
      <c r="A334" s="29"/>
      <c r="B334" s="30"/>
    </row>
    <row r="335" spans="1:2">
      <c r="A335" s="29"/>
      <c r="B335" s="30"/>
    </row>
    <row r="336" spans="1:2">
      <c r="A336" s="29"/>
      <c r="B336" s="30"/>
    </row>
    <row r="337" spans="1:2">
      <c r="A337" s="29"/>
      <c r="B337" s="30"/>
    </row>
    <row r="338" spans="1:2">
      <c r="A338" s="29"/>
      <c r="B338" s="30"/>
    </row>
    <row r="339" spans="1:2">
      <c r="A339" s="29"/>
      <c r="B339" s="30"/>
    </row>
    <row r="340" spans="1:2">
      <c r="A340" s="29"/>
      <c r="B340" s="30"/>
    </row>
    <row r="341" spans="1:2">
      <c r="A341" s="29"/>
      <c r="B341" s="30"/>
    </row>
    <row r="342" spans="1:2">
      <c r="A342" s="29"/>
      <c r="B342" s="30"/>
    </row>
    <row r="343" spans="1:2">
      <c r="A343" s="29"/>
      <c r="B343" s="30"/>
    </row>
    <row r="344" spans="1:2">
      <c r="A344" s="29"/>
      <c r="B344" s="30"/>
    </row>
    <row r="345" spans="1:2">
      <c r="A345" s="29"/>
      <c r="B345" s="30"/>
    </row>
    <row r="346" spans="1:2">
      <c r="A346" s="29"/>
      <c r="B346" s="30"/>
    </row>
    <row r="347" spans="1:2">
      <c r="A347" s="29"/>
      <c r="B347" s="30"/>
    </row>
    <row r="348" spans="1:2">
      <c r="A348" s="29"/>
      <c r="B348" s="30"/>
    </row>
    <row r="349" spans="1:2">
      <c r="A349" s="29"/>
      <c r="B349" s="30"/>
    </row>
    <row r="350" spans="1:2">
      <c r="A350" s="29"/>
      <c r="B350" s="30"/>
    </row>
    <row r="351" spans="1:2">
      <c r="A351" s="29"/>
      <c r="B351" s="30"/>
    </row>
    <row r="352" spans="1:2">
      <c r="A352" s="29"/>
      <c r="B352" s="30"/>
    </row>
    <row r="353" spans="1:2">
      <c r="A353" s="29"/>
      <c r="B353" s="30"/>
    </row>
    <row r="354" spans="1:2">
      <c r="A354" s="29"/>
      <c r="B354" s="30"/>
    </row>
    <row r="355" spans="1:2">
      <c r="A355" s="29"/>
      <c r="B355" s="30"/>
    </row>
    <row r="356" spans="1:2">
      <c r="A356" s="29"/>
      <c r="B356" s="30"/>
    </row>
    <row r="357" spans="1:2">
      <c r="A357" s="29"/>
      <c r="B357" s="30"/>
    </row>
    <row r="358" spans="1:2">
      <c r="A358" s="29"/>
      <c r="B358" s="30"/>
    </row>
    <row r="359" spans="1:2">
      <c r="A359" s="29"/>
      <c r="B359" s="30"/>
    </row>
    <row r="360" spans="1:2">
      <c r="A360" s="29"/>
      <c r="B360" s="30"/>
    </row>
    <row r="361" spans="1:2">
      <c r="A361" s="29"/>
      <c r="B361" s="30"/>
    </row>
    <row r="362" spans="1:2">
      <c r="A362" s="29"/>
      <c r="B362" s="30"/>
    </row>
    <row r="363" spans="1:2">
      <c r="A363" s="29"/>
      <c r="B363" s="30"/>
    </row>
    <row r="364" spans="1:2">
      <c r="A364" s="29"/>
      <c r="B364" s="30"/>
    </row>
    <row r="365" spans="1:2">
      <c r="A365" s="29"/>
      <c r="B365" s="30"/>
    </row>
    <row r="366" spans="1:2">
      <c r="A366" s="29"/>
      <c r="B366" s="30"/>
    </row>
    <row r="367" spans="1:2">
      <c r="A367" s="29"/>
      <c r="B367" s="30"/>
    </row>
    <row r="368" spans="1:2">
      <c r="A368" s="29"/>
      <c r="B368" s="30"/>
    </row>
    <row r="369" spans="1:2">
      <c r="A369" s="29"/>
      <c r="B369" s="30"/>
    </row>
    <row r="370" spans="1:2">
      <c r="A370" s="29"/>
      <c r="B370" s="30"/>
    </row>
    <row r="371" spans="1:2">
      <c r="A371" s="29"/>
      <c r="B371" s="30"/>
    </row>
    <row r="372" spans="1:2">
      <c r="A372" s="29"/>
      <c r="B372" s="30"/>
    </row>
    <row r="373" spans="1:2">
      <c r="A373" s="29"/>
      <c r="B373" s="30"/>
    </row>
    <row r="374" spans="1:2">
      <c r="A374" s="29"/>
      <c r="B374" s="30"/>
    </row>
    <row r="375" spans="1:2">
      <c r="A375" s="29"/>
      <c r="B375" s="30"/>
    </row>
    <row r="376" spans="1:2">
      <c r="A376" s="29"/>
      <c r="B376" s="30"/>
    </row>
    <row r="377" spans="1:2">
      <c r="A377" s="29"/>
      <c r="B377" s="30"/>
    </row>
    <row r="378" spans="1:2">
      <c r="A378" s="29"/>
      <c r="B378" s="30"/>
    </row>
    <row r="379" spans="1:2">
      <c r="A379" s="29"/>
      <c r="B379" s="30"/>
    </row>
    <row r="380" spans="1:2">
      <c r="A380" s="29"/>
      <c r="B380" s="30"/>
    </row>
    <row r="381" spans="1:2">
      <c r="A381" s="29"/>
      <c r="B381" s="30"/>
    </row>
    <row r="382" spans="1:2">
      <c r="A382" s="29"/>
      <c r="B382" s="30"/>
    </row>
    <row r="383" spans="1:2">
      <c r="A383" s="29"/>
      <c r="B383" s="30"/>
    </row>
    <row r="384" spans="1:2">
      <c r="A384" s="29"/>
      <c r="B384" s="30"/>
    </row>
    <row r="385" spans="1:2">
      <c r="A385" s="29"/>
      <c r="B385" s="30"/>
    </row>
    <row r="386" spans="1:2">
      <c r="A386" s="29"/>
      <c r="B386" s="30"/>
    </row>
    <row r="387" spans="1:2">
      <c r="A387" s="29"/>
      <c r="B387" s="30"/>
    </row>
    <row r="388" spans="1:2">
      <c r="A388" s="29"/>
      <c r="B388" s="30"/>
    </row>
    <row r="389" spans="1:2">
      <c r="A389" s="29"/>
      <c r="B389" s="30"/>
    </row>
    <row r="390" spans="1:2">
      <c r="A390" s="29"/>
      <c r="B390" s="30"/>
    </row>
    <row r="391" spans="1:2">
      <c r="A391" s="29"/>
      <c r="B391" s="30"/>
    </row>
    <row r="392" spans="1:2">
      <c r="A392" s="29"/>
      <c r="B392" s="30"/>
    </row>
    <row r="393" spans="1:2">
      <c r="A393" s="29"/>
      <c r="B393" s="30"/>
    </row>
    <row r="394" spans="1:2">
      <c r="A394" s="29"/>
      <c r="B394" s="30"/>
    </row>
    <row r="395" spans="1:2">
      <c r="A395" s="29"/>
      <c r="B395" s="30"/>
    </row>
    <row r="396" spans="1:2">
      <c r="A396" s="29"/>
      <c r="B396" s="30"/>
    </row>
    <row r="397" spans="1:2">
      <c r="A397" s="29"/>
      <c r="B397" s="30"/>
    </row>
    <row r="398" spans="1:2">
      <c r="A398" s="29"/>
      <c r="B398" s="30"/>
    </row>
    <row r="399" spans="1:2">
      <c r="A399" s="29"/>
      <c r="B399" s="30"/>
    </row>
    <row r="400" spans="1:2">
      <c r="A400" s="29"/>
      <c r="B400" s="30"/>
    </row>
    <row r="401" spans="1:2">
      <c r="A401" s="29"/>
      <c r="B401" s="30"/>
    </row>
    <row r="402" spans="1:2">
      <c r="A402" s="29"/>
      <c r="B402" s="30"/>
    </row>
    <row r="403" spans="1:2">
      <c r="A403" s="29"/>
      <c r="B403" s="30"/>
    </row>
    <row r="404" spans="1:2">
      <c r="A404" s="29"/>
      <c r="B404" s="30"/>
    </row>
    <row r="405" spans="1:2">
      <c r="A405" s="29"/>
      <c r="B405" s="30"/>
    </row>
    <row r="406" spans="1:2">
      <c r="A406" s="29"/>
      <c r="B406" s="30"/>
    </row>
    <row r="407" spans="1:2">
      <c r="A407" s="29"/>
      <c r="B407" s="30"/>
    </row>
    <row r="408" spans="1:2">
      <c r="A408" s="29"/>
      <c r="B408" s="30"/>
    </row>
    <row r="409" spans="1:2">
      <c r="A409" s="29"/>
      <c r="B409" s="30"/>
    </row>
    <row r="410" spans="1:2">
      <c r="A410" s="29"/>
      <c r="B410" s="30"/>
    </row>
    <row r="411" spans="1:2">
      <c r="A411" s="29"/>
      <c r="B411" s="30"/>
    </row>
    <row r="412" spans="1:2">
      <c r="A412" s="29"/>
      <c r="B412" s="30"/>
    </row>
    <row r="413" spans="1:2">
      <c r="A413" s="29"/>
      <c r="B413" s="30"/>
    </row>
    <row r="414" spans="1:2">
      <c r="A414" s="29"/>
      <c r="B414" s="30"/>
    </row>
    <row r="415" spans="1:2">
      <c r="A415" s="29"/>
      <c r="B415" s="30"/>
    </row>
    <row r="416" spans="1:2">
      <c r="A416" s="29"/>
      <c r="B416" s="30"/>
    </row>
    <row r="417" spans="1:2">
      <c r="A417" s="29"/>
      <c r="B417" s="30"/>
    </row>
    <row r="418" spans="1:2">
      <c r="A418" s="29"/>
      <c r="B418" s="30"/>
    </row>
    <row r="419" spans="1:2">
      <c r="A419" s="29"/>
      <c r="B419" s="30"/>
    </row>
    <row r="420" spans="1:2">
      <c r="A420" s="29"/>
      <c r="B420" s="30"/>
    </row>
    <row r="421" spans="1:2">
      <c r="A421" s="29"/>
      <c r="B421" s="30"/>
    </row>
    <row r="422" spans="1:2">
      <c r="A422" s="29"/>
      <c r="B422" s="30"/>
    </row>
    <row r="423" spans="1:2">
      <c r="A423" s="29"/>
      <c r="B423" s="30"/>
    </row>
    <row r="424" spans="1:2">
      <c r="A424" s="29"/>
      <c r="B424" s="30"/>
    </row>
    <row r="425" spans="1:2">
      <c r="A425" s="29"/>
      <c r="B425" s="30"/>
    </row>
    <row r="426" spans="1:2">
      <c r="A426" s="29"/>
      <c r="B426" s="30"/>
    </row>
    <row r="427" spans="1:2">
      <c r="A427" s="29"/>
      <c r="B427" s="30"/>
    </row>
    <row r="428" spans="1:2">
      <c r="A428" s="29"/>
      <c r="B428" s="30"/>
    </row>
    <row r="429" spans="1:2">
      <c r="A429" s="29"/>
      <c r="B429" s="30"/>
    </row>
    <row r="430" spans="1:2">
      <c r="A430" s="29"/>
      <c r="B430" s="30"/>
    </row>
    <row r="431" spans="1:2">
      <c r="A431" s="29"/>
      <c r="B431" s="30"/>
    </row>
    <row r="432" spans="1:2">
      <c r="A432" s="29"/>
      <c r="B432" s="30"/>
    </row>
    <row r="433" spans="1:2">
      <c r="A433" s="29"/>
      <c r="B433" s="30"/>
    </row>
    <row r="434" spans="1:2">
      <c r="A434" s="29"/>
      <c r="B434" s="30"/>
    </row>
    <row r="435" spans="1:2">
      <c r="A435" s="29"/>
      <c r="B435" s="30"/>
    </row>
    <row r="436" spans="1:2">
      <c r="A436" s="29"/>
      <c r="B436" s="30"/>
    </row>
    <row r="437" spans="1:2">
      <c r="A437" s="29"/>
      <c r="B437" s="30"/>
    </row>
    <row r="438" spans="1:2">
      <c r="A438" s="29"/>
      <c r="B438" s="30"/>
    </row>
    <row r="439" spans="1:2">
      <c r="A439" s="29"/>
      <c r="B439" s="30"/>
    </row>
    <row r="440" spans="1:2">
      <c r="A440" s="29"/>
      <c r="B440" s="30"/>
    </row>
    <row r="441" spans="1:2">
      <c r="A441" s="29"/>
      <c r="B441" s="30"/>
    </row>
    <row r="442" spans="1:2">
      <c r="A442" s="29"/>
      <c r="B442" s="30"/>
    </row>
    <row r="443" spans="1:2">
      <c r="A443" s="29"/>
      <c r="B443" s="30"/>
    </row>
    <row r="444" spans="1:2">
      <c r="A444" s="29"/>
      <c r="B444" s="30"/>
    </row>
    <row r="445" spans="1:2">
      <c r="A445" s="29"/>
      <c r="B445" s="30"/>
    </row>
    <row r="446" spans="1:2">
      <c r="A446" s="29"/>
      <c r="B446" s="30"/>
    </row>
    <row r="447" spans="1:2">
      <c r="A447" s="29"/>
      <c r="B447" s="30"/>
    </row>
    <row r="448" spans="1:2">
      <c r="A448" s="29"/>
      <c r="B448" s="30"/>
    </row>
    <row r="449" spans="1:2">
      <c r="A449" s="29"/>
      <c r="B449" s="30"/>
    </row>
    <row r="450" spans="1:2">
      <c r="A450" s="29"/>
      <c r="B450" s="30"/>
    </row>
    <row r="451" spans="1:2">
      <c r="A451" s="29"/>
      <c r="B451" s="30"/>
    </row>
    <row r="452" spans="1:2">
      <c r="A452" s="29"/>
      <c r="B452" s="30"/>
    </row>
    <row r="453" spans="1:2">
      <c r="A453" s="29"/>
      <c r="B453" s="30"/>
    </row>
    <row r="454" spans="1:2">
      <c r="A454" s="29"/>
      <c r="B454" s="30"/>
    </row>
    <row r="455" spans="1:2">
      <c r="A455" s="29"/>
      <c r="B455" s="30"/>
    </row>
    <row r="456" spans="1:2">
      <c r="A456" s="29"/>
      <c r="B456" s="30"/>
    </row>
    <row r="457" spans="1:2">
      <c r="A457" s="29"/>
      <c r="B457" s="30"/>
    </row>
    <row r="458" spans="1:2">
      <c r="A458" s="29"/>
      <c r="B458" s="30"/>
    </row>
    <row r="459" spans="1:2">
      <c r="A459" s="29"/>
      <c r="B459" s="30"/>
    </row>
    <row r="460" spans="1:2">
      <c r="A460" s="29"/>
      <c r="B460" s="30"/>
    </row>
    <row r="461" spans="1:2">
      <c r="A461" s="29"/>
      <c r="B461" s="30"/>
    </row>
    <row r="462" spans="1:2">
      <c r="A462" s="29"/>
      <c r="B462" s="30"/>
    </row>
    <row r="463" spans="1:2">
      <c r="A463" s="29"/>
      <c r="B463" s="30"/>
    </row>
    <row r="464" spans="1:2">
      <c r="A464" s="29"/>
      <c r="B464" s="30"/>
    </row>
    <row r="465" spans="1:2">
      <c r="A465" s="29"/>
      <c r="B465" s="30"/>
    </row>
    <row r="466" spans="1:2">
      <c r="A466" s="29"/>
      <c r="B466" s="30"/>
    </row>
    <row r="467" spans="1:2">
      <c r="A467" s="29"/>
      <c r="B467" s="30"/>
    </row>
    <row r="468" spans="1:2">
      <c r="A468" s="29"/>
      <c r="B468" s="30"/>
    </row>
    <row r="469" spans="1:2">
      <c r="A469" s="29"/>
      <c r="B469" s="30"/>
    </row>
    <row r="470" spans="1:2">
      <c r="A470" s="29"/>
      <c r="B470" s="30"/>
    </row>
    <row r="471" spans="1:2">
      <c r="A471" s="29"/>
      <c r="B471" s="30"/>
    </row>
    <row r="472" spans="1:2">
      <c r="A472" s="29"/>
      <c r="B472" s="30"/>
    </row>
    <row r="473" spans="1:2">
      <c r="A473" s="29"/>
      <c r="B473" s="30"/>
    </row>
    <row r="474" spans="1:2">
      <c r="A474" s="29"/>
      <c r="B474" s="30"/>
    </row>
    <row r="475" spans="1:2">
      <c r="A475" s="29"/>
      <c r="B475" s="30"/>
    </row>
    <row r="476" spans="1:2">
      <c r="A476" s="29"/>
      <c r="B476" s="30"/>
    </row>
    <row r="477" spans="1:2">
      <c r="A477" s="29"/>
      <c r="B477" s="30"/>
    </row>
    <row r="478" spans="1:2">
      <c r="A478" s="29"/>
      <c r="B478" s="30"/>
    </row>
    <row r="479" spans="1:2">
      <c r="A479" s="29"/>
      <c r="B479" s="30"/>
    </row>
    <row r="480" spans="1:2">
      <c r="A480" s="29"/>
      <c r="B480" s="30"/>
    </row>
    <row r="481" spans="1:2">
      <c r="A481" s="29"/>
      <c r="B481" s="30"/>
    </row>
    <row r="482" spans="1:2">
      <c r="A482" s="29"/>
      <c r="B482" s="30"/>
    </row>
    <row r="483" spans="1:2">
      <c r="A483" s="29"/>
      <c r="B483" s="30"/>
    </row>
    <row r="484" spans="1:2">
      <c r="A484" s="29"/>
      <c r="B484" s="30"/>
    </row>
    <row r="485" spans="1:2">
      <c r="A485" s="29"/>
      <c r="B485" s="30"/>
    </row>
    <row r="486" spans="1:2">
      <c r="A486" s="29"/>
      <c r="B486" s="30"/>
    </row>
    <row r="487" spans="1:2">
      <c r="A487" s="29"/>
      <c r="B487" s="30"/>
    </row>
    <row r="488" spans="1:2">
      <c r="A488" s="29"/>
      <c r="B488" s="30"/>
    </row>
    <row r="489" spans="1:2">
      <c r="A489" s="29"/>
      <c r="B489" s="30"/>
    </row>
    <row r="490" spans="1:2">
      <c r="A490" s="29"/>
      <c r="B490" s="30"/>
    </row>
    <row r="491" spans="1:2">
      <c r="A491" s="29"/>
      <c r="B491" s="30"/>
    </row>
    <row r="492" spans="1:2">
      <c r="A492" s="29"/>
      <c r="B492" s="30"/>
    </row>
    <row r="493" spans="1:2">
      <c r="A493" s="29"/>
      <c r="B493" s="30"/>
    </row>
    <row r="494" spans="1:2">
      <c r="A494" s="29"/>
      <c r="B494" s="30"/>
    </row>
    <row r="495" spans="1:2">
      <c r="A495" s="29"/>
      <c r="B495" s="30"/>
    </row>
    <row r="496" spans="1:2">
      <c r="A496" s="29"/>
      <c r="B496" s="30"/>
    </row>
    <row r="497" spans="1:2">
      <c r="A497" s="29"/>
      <c r="B497" s="30"/>
    </row>
    <row r="498" spans="1:2">
      <c r="A498" s="29"/>
      <c r="B498" s="30"/>
    </row>
    <row r="499" spans="1:2">
      <c r="A499" s="29"/>
      <c r="B499" s="30"/>
    </row>
    <row r="500" spans="1:2">
      <c r="A500" s="29"/>
      <c r="B500" s="30"/>
    </row>
    <row r="501" spans="1:2">
      <c r="A501" s="29"/>
      <c r="B501" s="30"/>
    </row>
    <row r="502" spans="1:2">
      <c r="A502" s="29"/>
      <c r="B502" s="30"/>
    </row>
    <row r="503" spans="1:2">
      <c r="A503" s="29"/>
      <c r="B503" s="30"/>
    </row>
    <row r="504" spans="1:2">
      <c r="A504" s="29"/>
      <c r="B504" s="30"/>
    </row>
    <row r="505" spans="1:2">
      <c r="A505" s="29"/>
      <c r="B505" s="30"/>
    </row>
    <row r="506" spans="1:2">
      <c r="A506" s="29"/>
      <c r="B506" s="30"/>
    </row>
    <row r="507" spans="1:2">
      <c r="A507" s="29"/>
      <c r="B507" s="30"/>
    </row>
    <row r="508" spans="1:2">
      <c r="A508" s="29"/>
      <c r="B508" s="30"/>
    </row>
    <row r="509" spans="1:2">
      <c r="A509" s="29"/>
      <c r="B509" s="30"/>
    </row>
    <row r="510" spans="1:2">
      <c r="A510" s="29"/>
      <c r="B510" s="30"/>
    </row>
    <row r="511" spans="1:2">
      <c r="A511" s="29"/>
      <c r="B511" s="30"/>
    </row>
    <row r="512" spans="1:2">
      <c r="A512" s="29"/>
      <c r="B512" s="30"/>
    </row>
    <row r="513" spans="1:2">
      <c r="A513" s="29"/>
      <c r="B513" s="30"/>
    </row>
    <row r="514" spans="1:2">
      <c r="A514" s="29"/>
      <c r="B514" s="30"/>
    </row>
    <row r="515" spans="1:2">
      <c r="A515" s="29"/>
      <c r="B515" s="30"/>
    </row>
    <row r="516" spans="1:2">
      <c r="A516" s="29"/>
      <c r="B516" s="30"/>
    </row>
    <row r="517" spans="1:2">
      <c r="A517" s="29"/>
      <c r="B517" s="30"/>
    </row>
    <row r="518" spans="1:2">
      <c r="A518" s="29"/>
      <c r="B518" s="30"/>
    </row>
    <row r="519" spans="1:2">
      <c r="A519" s="29"/>
      <c r="B519" s="30"/>
    </row>
    <row r="520" spans="1:2">
      <c r="A520" s="29"/>
      <c r="B520" s="30"/>
    </row>
    <row r="521" spans="1:2">
      <c r="A521" s="29"/>
      <c r="B521" s="30"/>
    </row>
    <row r="522" spans="1:2">
      <c r="A522" s="29"/>
      <c r="B522" s="30"/>
    </row>
    <row r="523" spans="1:2">
      <c r="A523" s="29"/>
      <c r="B523" s="30"/>
    </row>
    <row r="524" spans="1:2">
      <c r="A524" s="29"/>
      <c r="B524" s="30"/>
    </row>
    <row r="525" spans="1:2">
      <c r="A525" s="29"/>
      <c r="B525" s="30"/>
    </row>
    <row r="526" spans="1:2">
      <c r="A526" s="29"/>
      <c r="B526" s="30"/>
    </row>
    <row r="527" spans="1:2">
      <c r="A527" s="29"/>
      <c r="B527" s="30"/>
    </row>
    <row r="528" spans="1:2">
      <c r="A528" s="29"/>
      <c r="B528" s="30"/>
    </row>
    <row r="529" spans="1:2">
      <c r="A529" s="29"/>
      <c r="B529" s="30"/>
    </row>
    <row r="530" spans="1:2">
      <c r="A530" s="29"/>
      <c r="B530" s="30"/>
    </row>
    <row r="531" spans="1:2">
      <c r="A531" s="29"/>
      <c r="B531" s="30"/>
    </row>
    <row r="532" spans="1:2">
      <c r="A532" s="29"/>
      <c r="B532" s="30"/>
    </row>
    <row r="533" spans="1:2">
      <c r="A533" s="29"/>
      <c r="B533" s="30"/>
    </row>
    <row r="534" spans="1:2">
      <c r="A534" s="29"/>
      <c r="B534" s="30"/>
    </row>
    <row r="535" spans="1:2">
      <c r="A535" s="29"/>
      <c r="B535" s="30"/>
    </row>
    <row r="536" spans="1:2">
      <c r="A536" s="29"/>
      <c r="B536" s="30"/>
    </row>
    <row r="537" spans="1:2">
      <c r="A537" s="29"/>
      <c r="B537" s="30"/>
    </row>
    <row r="538" spans="1:2">
      <c r="A538" s="29"/>
      <c r="B538" s="30"/>
    </row>
    <row r="539" spans="1:2">
      <c r="A539" s="29"/>
      <c r="B539" s="30"/>
    </row>
    <row r="540" spans="1:2">
      <c r="A540" s="29"/>
      <c r="B540" s="30"/>
    </row>
    <row r="541" spans="1:2">
      <c r="A541" s="29"/>
      <c r="B541" s="30"/>
    </row>
    <row r="542" spans="1:2">
      <c r="A542" s="29"/>
      <c r="B542" s="30"/>
    </row>
    <row r="543" spans="1:2">
      <c r="A543" s="29"/>
      <c r="B543" s="30"/>
    </row>
    <row r="544" spans="1:2">
      <c r="A544" s="29"/>
      <c r="B544" s="30"/>
    </row>
    <row r="545" spans="1:2">
      <c r="A545" s="29"/>
      <c r="B545" s="30"/>
    </row>
    <row r="546" spans="1:2">
      <c r="A546" s="29"/>
      <c r="B546" s="30"/>
    </row>
    <row r="547" spans="1:2">
      <c r="A547" s="29"/>
      <c r="B547" s="30"/>
    </row>
    <row r="548" spans="1:2">
      <c r="A548" s="29"/>
      <c r="B548" s="30"/>
    </row>
    <row r="549" spans="1:2">
      <c r="A549" s="29"/>
      <c r="B549" s="30"/>
    </row>
    <row r="550" spans="1:2">
      <c r="A550" s="29"/>
      <c r="B550" s="30"/>
    </row>
    <row r="551" spans="1:2">
      <c r="A551" s="29"/>
      <c r="B551" s="30"/>
    </row>
    <row r="552" spans="1:2">
      <c r="A552" s="29"/>
      <c r="B552" s="30"/>
    </row>
    <row r="553" spans="1:2">
      <c r="A553" s="29"/>
      <c r="B553" s="30"/>
    </row>
    <row r="554" spans="1:2">
      <c r="A554" s="29"/>
      <c r="B554" s="30"/>
    </row>
    <row r="555" spans="1:2">
      <c r="A555" s="29"/>
      <c r="B555" s="30"/>
    </row>
    <row r="556" spans="1:2">
      <c r="A556" s="29"/>
      <c r="B556" s="30"/>
    </row>
    <row r="557" spans="1:2">
      <c r="A557" s="29"/>
      <c r="B557" s="30"/>
    </row>
    <row r="558" spans="1:2">
      <c r="A558" s="29"/>
      <c r="B558" s="30"/>
    </row>
    <row r="559" spans="1:2">
      <c r="A559" s="29"/>
      <c r="B559" s="30"/>
    </row>
    <row r="560" spans="1:2">
      <c r="A560" s="29"/>
      <c r="B560" s="30"/>
    </row>
    <row r="561" spans="1:2">
      <c r="A561" s="29"/>
      <c r="B561" s="30"/>
    </row>
    <row r="562" spans="1:2">
      <c r="A562" s="29"/>
      <c r="B562" s="30"/>
    </row>
    <row r="563" spans="1:2">
      <c r="A563" s="29"/>
      <c r="B563" s="30"/>
    </row>
    <row r="564" spans="1:2">
      <c r="A564" s="29"/>
      <c r="B564" s="30"/>
    </row>
    <row r="565" spans="1:2">
      <c r="A565" s="29"/>
      <c r="B565" s="30"/>
    </row>
    <row r="566" spans="1:2">
      <c r="A566" s="29"/>
      <c r="B566" s="30"/>
    </row>
    <row r="567" spans="1:2">
      <c r="A567" s="29"/>
      <c r="B567" s="30"/>
    </row>
    <row r="568" spans="1:2">
      <c r="A568" s="29"/>
      <c r="B568" s="30"/>
    </row>
    <row r="569" spans="1:2">
      <c r="A569" s="29"/>
      <c r="B569" s="30"/>
    </row>
    <row r="570" spans="1:2">
      <c r="A570" s="29"/>
      <c r="B570" s="30"/>
    </row>
    <row r="571" spans="1:2">
      <c r="A571" s="29"/>
      <c r="B571" s="30"/>
    </row>
    <row r="572" spans="1:2">
      <c r="A572" s="29"/>
      <c r="B572" s="30"/>
    </row>
    <row r="573" spans="1:2">
      <c r="A573" s="29"/>
      <c r="B573" s="30"/>
    </row>
    <row r="574" spans="1:2">
      <c r="A574" s="29"/>
      <c r="B574" s="30"/>
    </row>
    <row r="575" spans="1:2">
      <c r="A575" s="29"/>
      <c r="B575" s="30"/>
    </row>
    <row r="576" spans="1:2">
      <c r="A576" s="29"/>
      <c r="B576" s="30"/>
    </row>
    <row r="577" spans="1:2">
      <c r="A577" s="29"/>
      <c r="B577" s="30"/>
    </row>
    <row r="578" spans="1:2">
      <c r="A578" s="29"/>
      <c r="B578" s="30"/>
    </row>
    <row r="579" spans="1:2">
      <c r="A579" s="29"/>
      <c r="B579" s="30"/>
    </row>
    <row r="580" spans="1:2">
      <c r="A580" s="29"/>
      <c r="B580" s="30"/>
    </row>
    <row r="581" spans="1:2">
      <c r="A581" s="29"/>
      <c r="B581" s="30"/>
    </row>
    <row r="582" spans="1:2">
      <c r="A582" s="29"/>
      <c r="B582" s="30"/>
    </row>
    <row r="583" spans="1:2">
      <c r="A583" s="29"/>
      <c r="B583" s="30"/>
    </row>
    <row r="584" spans="1:2">
      <c r="A584" s="29"/>
      <c r="B584" s="30"/>
    </row>
    <row r="585" spans="1:2">
      <c r="A585" s="29"/>
      <c r="B585" s="30"/>
    </row>
    <row r="586" spans="1:2">
      <c r="A586" s="29"/>
      <c r="B586" s="30"/>
    </row>
    <row r="587" spans="1:2">
      <c r="A587" s="29"/>
      <c r="B587" s="30"/>
    </row>
    <row r="588" spans="1:2">
      <c r="A588" s="29"/>
      <c r="B588" s="30"/>
    </row>
    <row r="589" spans="1:2">
      <c r="A589" s="29"/>
      <c r="B589" s="30"/>
    </row>
    <row r="590" spans="1:2">
      <c r="A590" s="29"/>
      <c r="B590" s="30"/>
    </row>
    <row r="591" spans="1:2">
      <c r="A591" s="29"/>
      <c r="B591" s="30"/>
    </row>
    <row r="592" spans="1:2">
      <c r="A592" s="29"/>
      <c r="B592" s="30"/>
    </row>
    <row r="593" spans="1:2">
      <c r="A593" s="29"/>
      <c r="B593" s="30"/>
    </row>
    <row r="594" spans="1:2">
      <c r="A594" s="29"/>
      <c r="B594" s="30"/>
    </row>
    <row r="595" spans="1:2">
      <c r="A595" s="29"/>
      <c r="B595" s="30"/>
    </row>
    <row r="596" spans="1:2">
      <c r="A596" s="29"/>
      <c r="B596" s="30"/>
    </row>
    <row r="597" spans="1:2">
      <c r="A597" s="29"/>
      <c r="B597" s="30"/>
    </row>
    <row r="598" spans="1:2">
      <c r="A598" s="29"/>
      <c r="B598" s="30"/>
    </row>
    <row r="599" spans="1:2">
      <c r="A599" s="29"/>
      <c r="B599" s="30"/>
    </row>
    <row r="600" spans="1:2">
      <c r="A600" s="29"/>
      <c r="B600" s="30"/>
    </row>
    <row r="601" spans="1:2">
      <c r="A601" s="29"/>
      <c r="B601" s="30"/>
    </row>
    <row r="602" spans="1:2">
      <c r="A602" s="29"/>
      <c r="B602" s="30"/>
    </row>
    <row r="603" spans="1:2">
      <c r="A603" s="29"/>
      <c r="B603" s="30"/>
    </row>
    <row r="604" spans="1:2">
      <c r="A604" s="29"/>
      <c r="B604" s="30"/>
    </row>
    <row r="605" spans="1:2">
      <c r="A605" s="29"/>
      <c r="B605" s="30"/>
    </row>
    <row r="606" spans="1:2">
      <c r="A606" s="29"/>
      <c r="B606" s="30"/>
    </row>
    <row r="607" spans="1:2">
      <c r="A607" s="29"/>
      <c r="B607" s="30"/>
    </row>
    <row r="608" spans="1:2">
      <c r="A608" s="29"/>
      <c r="B608" s="30"/>
    </row>
    <row r="609" spans="1:2">
      <c r="A609" s="29"/>
      <c r="B609" s="30"/>
    </row>
    <row r="610" spans="1:2">
      <c r="A610" s="29"/>
      <c r="B610" s="30"/>
    </row>
    <row r="611" spans="1:2">
      <c r="A611" s="29"/>
      <c r="B611" s="30"/>
    </row>
    <row r="612" spans="1:2">
      <c r="A612" s="29"/>
      <c r="B612" s="30"/>
    </row>
    <row r="613" spans="1:2">
      <c r="A613" s="29"/>
      <c r="B613" s="30"/>
    </row>
    <row r="614" spans="1:2">
      <c r="A614" s="29"/>
      <c r="B614" s="30"/>
    </row>
    <row r="615" spans="1:2">
      <c r="A615" s="29"/>
      <c r="B615" s="30"/>
    </row>
    <row r="616" spans="1:2">
      <c r="A616" s="29"/>
      <c r="B616" s="30"/>
    </row>
    <row r="617" spans="1:2">
      <c r="A617" s="29"/>
      <c r="B617" s="30"/>
    </row>
    <row r="618" spans="1:2">
      <c r="A618" s="29"/>
      <c r="B618" s="30"/>
    </row>
    <row r="619" spans="1:2">
      <c r="A619" s="29"/>
      <c r="B619" s="30"/>
    </row>
    <row r="620" spans="1:2">
      <c r="A620" s="29"/>
      <c r="B620" s="30"/>
    </row>
    <row r="621" spans="1:2">
      <c r="A621" s="29"/>
      <c r="B621" s="30"/>
    </row>
    <row r="622" spans="1:2">
      <c r="A622" s="29"/>
      <c r="B622" s="30"/>
    </row>
    <row r="623" spans="1:2">
      <c r="A623" s="29"/>
      <c r="B623" s="30"/>
    </row>
    <row r="624" spans="1:2">
      <c r="A624" s="29"/>
      <c r="B624" s="30"/>
    </row>
    <row r="625" spans="1:2">
      <c r="A625" s="29"/>
      <c r="B625" s="30"/>
    </row>
    <row r="626" spans="1:2">
      <c r="A626" s="29"/>
      <c r="B626" s="30"/>
    </row>
    <row r="627" spans="1:2">
      <c r="A627" s="29"/>
      <c r="B627" s="30"/>
    </row>
    <row r="628" spans="1:2">
      <c r="A628" s="29"/>
      <c r="B628" s="30"/>
    </row>
    <row r="629" spans="1:2">
      <c r="A629" s="29"/>
      <c r="B629" s="30"/>
    </row>
    <row r="630" spans="1:2">
      <c r="A630" s="29"/>
      <c r="B630" s="30"/>
    </row>
    <row r="631" spans="1:2">
      <c r="A631" s="29"/>
      <c r="B631" s="30"/>
    </row>
    <row r="632" spans="1:2">
      <c r="A632" s="29"/>
      <c r="B632" s="30"/>
    </row>
    <row r="633" spans="1:2">
      <c r="A633" s="29"/>
      <c r="B633" s="30"/>
    </row>
    <row r="634" spans="1:2">
      <c r="A634" s="29"/>
      <c r="B634" s="30"/>
    </row>
    <row r="635" spans="1:2">
      <c r="A635" s="29"/>
      <c r="B635" s="30"/>
    </row>
    <row r="636" spans="1:2">
      <c r="A636" s="29"/>
      <c r="B636" s="30"/>
    </row>
    <row r="637" spans="1:2">
      <c r="A637" s="29"/>
      <c r="B637" s="30"/>
    </row>
    <row r="638" spans="1:2">
      <c r="A638" s="29"/>
      <c r="B638" s="30"/>
    </row>
    <row r="639" spans="1:2">
      <c r="A639" s="29"/>
      <c r="B639" s="30"/>
    </row>
    <row r="640" spans="1:2">
      <c r="A640" s="29"/>
      <c r="B640" s="30"/>
    </row>
    <row r="641" spans="1:2">
      <c r="A641" s="29"/>
      <c r="B641" s="30"/>
    </row>
    <row r="642" spans="1:2">
      <c r="A642" s="29"/>
      <c r="B642" s="30"/>
    </row>
    <row r="643" spans="1:2">
      <c r="A643" s="29"/>
      <c r="B643" s="30"/>
    </row>
    <row r="644" spans="1:2">
      <c r="A644" s="29"/>
      <c r="B644" s="30"/>
    </row>
    <row r="645" spans="1:2">
      <c r="A645" s="29"/>
      <c r="B645" s="30"/>
    </row>
    <row r="646" spans="1:2">
      <c r="A646" s="29"/>
      <c r="B646" s="30"/>
    </row>
    <row r="647" spans="1:2">
      <c r="A647" s="29"/>
      <c r="B647" s="30"/>
    </row>
    <row r="648" spans="1:2">
      <c r="A648" s="29"/>
      <c r="B648" s="30"/>
    </row>
    <row r="649" spans="1:2">
      <c r="A649" s="29"/>
      <c r="B649" s="30"/>
    </row>
    <row r="650" spans="1:2">
      <c r="A650" s="29"/>
      <c r="B650" s="30"/>
    </row>
    <row r="651" spans="1:2">
      <c r="A651" s="29"/>
      <c r="B651" s="30"/>
    </row>
    <row r="652" spans="1:2">
      <c r="A652" s="29"/>
    </row>
    <row r="653" spans="1:2">
      <c r="A653" s="29"/>
    </row>
    <row r="654" spans="1:2">
      <c r="A654" s="29"/>
    </row>
    <row r="655" spans="1:2">
      <c r="A655" s="29"/>
    </row>
    <row r="656" spans="1:2">
      <c r="A656" s="29"/>
    </row>
    <row r="657" spans="1:1">
      <c r="A657" s="29"/>
    </row>
    <row r="658" spans="1:1">
      <c r="A658" s="29"/>
    </row>
    <row r="659" spans="1:1">
      <c r="A659" s="29"/>
    </row>
    <row r="660" spans="1:1">
      <c r="A660" s="29"/>
    </row>
    <row r="661" spans="1:1">
      <c r="A661" s="29"/>
    </row>
    <row r="662" spans="1:1">
      <c r="A662" s="29"/>
    </row>
    <row r="663" spans="1:1">
      <c r="A663" s="29"/>
    </row>
    <row r="664" spans="1:1">
      <c r="A664" s="29"/>
    </row>
    <row r="665" spans="1:1">
      <c r="A665" s="29"/>
    </row>
    <row r="666" spans="1:1">
      <c r="A666" s="29"/>
    </row>
    <row r="667" spans="1:1">
      <c r="A667" s="29"/>
    </row>
    <row r="668" spans="1:1">
      <c r="A668" s="29"/>
    </row>
    <row r="669" spans="1:1">
      <c r="A669" s="29"/>
    </row>
    <row r="670" spans="1:1">
      <c r="A670" s="29"/>
    </row>
    <row r="671" spans="1:1">
      <c r="A671" s="29"/>
    </row>
    <row r="672" spans="1:1">
      <c r="A672" s="29"/>
    </row>
    <row r="673" spans="1:1">
      <c r="A673" s="29"/>
    </row>
    <row r="674" spans="1:1">
      <c r="A674" s="29"/>
    </row>
    <row r="675" spans="1:1">
      <c r="A675" s="29"/>
    </row>
    <row r="676" spans="1:1">
      <c r="A676" s="29"/>
    </row>
    <row r="677" spans="1:1">
      <c r="A677" s="29"/>
    </row>
    <row r="678" spans="1:1">
      <c r="A678" s="29"/>
    </row>
    <row r="679" spans="1:1">
      <c r="A679" s="29"/>
    </row>
    <row r="680" spans="1:1">
      <c r="A680" s="29"/>
    </row>
    <row r="681" spans="1:1">
      <c r="A681" s="29"/>
    </row>
    <row r="682" spans="1:1">
      <c r="A682" s="29"/>
    </row>
    <row r="683" spans="1:1">
      <c r="A683" s="29"/>
    </row>
    <row r="684" spans="1:1">
      <c r="A684" s="29"/>
    </row>
    <row r="685" spans="1:1">
      <c r="A685" s="29"/>
    </row>
    <row r="686" spans="1:1">
      <c r="A686" s="29"/>
    </row>
    <row r="687" spans="1:1">
      <c r="A687" s="29"/>
    </row>
    <row r="688" spans="1:1">
      <c r="A688" s="29"/>
    </row>
    <row r="689" spans="1:2">
      <c r="A689" s="29"/>
    </row>
    <row r="690" spans="1:2">
      <c r="A690" s="29"/>
    </row>
    <row r="691" spans="1:2">
      <c r="A691" s="29"/>
    </row>
    <row r="692" spans="1:2">
      <c r="A692" s="29"/>
    </row>
    <row r="693" spans="1:2">
      <c r="A693" s="29"/>
    </row>
    <row r="694" spans="1:2">
      <c r="A694" s="29"/>
    </row>
    <row r="695" spans="1:2">
      <c r="A695" s="29"/>
    </row>
    <row r="696" spans="1:2">
      <c r="A696" s="29"/>
    </row>
    <row r="697" spans="1:2">
      <c r="A697" s="29"/>
    </row>
    <row r="698" spans="1:2">
      <c r="A698" s="29"/>
    </row>
    <row r="699" spans="1:2">
      <c r="A699" s="29"/>
      <c r="B699" s="30"/>
    </row>
    <row r="700" spans="1:2">
      <c r="A700" s="29"/>
      <c r="B700" s="30"/>
    </row>
    <row r="701" spans="1:2">
      <c r="A701" s="29"/>
      <c r="B701" s="30"/>
    </row>
    <row r="702" spans="1:2">
      <c r="A702" s="29"/>
      <c r="B702" s="30"/>
    </row>
    <row r="703" spans="1:2">
      <c r="A703" s="29"/>
      <c r="B703" s="30"/>
    </row>
    <row r="704" spans="1:2">
      <c r="A704" s="29"/>
      <c r="B704" s="30"/>
    </row>
    <row r="705" spans="1:2">
      <c r="A705" s="29"/>
      <c r="B705" s="30"/>
    </row>
    <row r="706" spans="1:2">
      <c r="A706" s="29"/>
      <c r="B706" s="30"/>
    </row>
    <row r="707" spans="1:2">
      <c r="A707" s="29"/>
      <c r="B707" s="30"/>
    </row>
    <row r="708" spans="1:2">
      <c r="A708" s="29"/>
      <c r="B708" s="30"/>
    </row>
    <row r="709" spans="1:2">
      <c r="A709" s="29"/>
      <c r="B709" s="30"/>
    </row>
    <row r="710" spans="1:2">
      <c r="A710" s="29"/>
      <c r="B710" s="30"/>
    </row>
    <row r="711" spans="1:2">
      <c r="A711" s="29"/>
      <c r="B711" s="30"/>
    </row>
    <row r="712" spans="1:2">
      <c r="A712" s="29"/>
      <c r="B712" s="30"/>
    </row>
    <row r="713" spans="1:2">
      <c r="A713" s="29"/>
      <c r="B713" s="30"/>
    </row>
    <row r="714" spans="1:2">
      <c r="A714" s="29"/>
      <c r="B714" s="30"/>
    </row>
    <row r="715" spans="1:2">
      <c r="A715" s="29"/>
      <c r="B715" s="30"/>
    </row>
    <row r="716" spans="1:2">
      <c r="A716" s="29"/>
      <c r="B716" s="30"/>
    </row>
    <row r="717" spans="1:2">
      <c r="A717" s="29"/>
      <c r="B717" s="30"/>
    </row>
    <row r="718" spans="1:2">
      <c r="A718" s="29"/>
      <c r="B718" s="30"/>
    </row>
    <row r="719" spans="1:2">
      <c r="A719" s="29"/>
      <c r="B719" s="30"/>
    </row>
    <row r="720" spans="1:2">
      <c r="A720" s="29"/>
      <c r="B720" s="30"/>
    </row>
    <row r="721" spans="1:2">
      <c r="A721" s="29"/>
      <c r="B721" s="30"/>
    </row>
    <row r="722" spans="1:2">
      <c r="A722" s="29"/>
      <c r="B722" s="30"/>
    </row>
    <row r="723" spans="1:2">
      <c r="A723" s="29"/>
      <c r="B723" s="30"/>
    </row>
    <row r="724" spans="1:2">
      <c r="A724" s="29"/>
      <c r="B724" s="30"/>
    </row>
    <row r="725" spans="1:2">
      <c r="A725" s="29"/>
      <c r="B725" s="30"/>
    </row>
    <row r="726" spans="1:2">
      <c r="A726" s="29"/>
      <c r="B726" s="30"/>
    </row>
    <row r="727" spans="1:2">
      <c r="A727" s="29"/>
      <c r="B727" s="30"/>
    </row>
    <row r="728" spans="1:2">
      <c r="A728" s="29"/>
      <c r="B728" s="30"/>
    </row>
    <row r="729" spans="1:2">
      <c r="A729" s="29"/>
      <c r="B729" s="30"/>
    </row>
    <row r="730" spans="1:2">
      <c r="A730" s="29"/>
      <c r="B730" s="30"/>
    </row>
    <row r="731" spans="1:2">
      <c r="A731" s="29"/>
      <c r="B731" s="30"/>
    </row>
    <row r="732" spans="1:2">
      <c r="A732" s="29"/>
      <c r="B732" s="30"/>
    </row>
    <row r="733" spans="1:2">
      <c r="A733" s="29"/>
      <c r="B733" s="30"/>
    </row>
    <row r="734" spans="1:2">
      <c r="A734" s="29"/>
      <c r="B734" s="30"/>
    </row>
    <row r="735" spans="1:2">
      <c r="A735" s="29"/>
      <c r="B735" s="30"/>
    </row>
    <row r="736" spans="1:2">
      <c r="A736" s="29"/>
      <c r="B736" s="30"/>
    </row>
    <row r="737" spans="1:2">
      <c r="A737" s="29"/>
      <c r="B737" s="30"/>
    </row>
    <row r="738" spans="1:2">
      <c r="A738" s="29"/>
      <c r="B738" s="30"/>
    </row>
    <row r="739" spans="1:2">
      <c r="A739" s="29"/>
      <c r="B739" s="30"/>
    </row>
    <row r="740" spans="1:2">
      <c r="A740" s="29"/>
      <c r="B740" s="30"/>
    </row>
    <row r="741" spans="1:2">
      <c r="A741" s="29"/>
      <c r="B741" s="30"/>
    </row>
    <row r="742" spans="1:2">
      <c r="A742" s="29"/>
      <c r="B742" s="30"/>
    </row>
    <row r="743" spans="1:2">
      <c r="A743" s="29"/>
      <c r="B743" s="30"/>
    </row>
    <row r="744" spans="1:2">
      <c r="A744" s="29"/>
      <c r="B744" s="30"/>
    </row>
    <row r="745" spans="1:2">
      <c r="A745" s="29"/>
      <c r="B745" s="30"/>
    </row>
    <row r="746" spans="1:2">
      <c r="A746" s="29"/>
      <c r="B746" s="30"/>
    </row>
    <row r="747" spans="1:2">
      <c r="A747" s="29"/>
      <c r="B747" s="30"/>
    </row>
    <row r="748" spans="1:2">
      <c r="A748" s="29"/>
      <c r="B748" s="30"/>
    </row>
    <row r="749" spans="1:2">
      <c r="A749" s="29"/>
      <c r="B749" s="30"/>
    </row>
    <row r="750" spans="1:2">
      <c r="A750" s="29"/>
      <c r="B750" s="30"/>
    </row>
    <row r="751" spans="1:2">
      <c r="A751" s="29"/>
      <c r="B751" s="30"/>
    </row>
    <row r="752" spans="1:2">
      <c r="A752" s="29"/>
      <c r="B752" s="30"/>
    </row>
    <row r="753" spans="1:2">
      <c r="A753" s="29"/>
      <c r="B753" s="30"/>
    </row>
    <row r="754" spans="1:2">
      <c r="A754" s="29"/>
      <c r="B754" s="30"/>
    </row>
    <row r="755" spans="1:2">
      <c r="A755" s="29"/>
      <c r="B755" s="30"/>
    </row>
    <row r="756" spans="1:2">
      <c r="A756" s="29"/>
      <c r="B756" s="30"/>
    </row>
    <row r="757" spans="1:2">
      <c r="A757" s="29"/>
      <c r="B757" s="30"/>
    </row>
    <row r="758" spans="1:2">
      <c r="A758" s="29"/>
      <c r="B758" s="30"/>
    </row>
    <row r="759" spans="1:2">
      <c r="A759" s="29"/>
      <c r="B759" s="30"/>
    </row>
    <row r="760" spans="1:2">
      <c r="A760" s="29"/>
      <c r="B760" s="30"/>
    </row>
    <row r="761" spans="1:2">
      <c r="A761" s="29"/>
      <c r="B761" s="30"/>
    </row>
    <row r="762" spans="1:2">
      <c r="A762" s="29"/>
      <c r="B762" s="30"/>
    </row>
    <row r="763" spans="1:2">
      <c r="A763" s="29"/>
      <c r="B763" s="30"/>
    </row>
    <row r="764" spans="1:2">
      <c r="A764" s="29"/>
      <c r="B764" s="30"/>
    </row>
    <row r="765" spans="1:2">
      <c r="A765" s="29"/>
      <c r="B765" s="30"/>
    </row>
    <row r="766" spans="1:2">
      <c r="A766" s="29"/>
      <c r="B766" s="30"/>
    </row>
    <row r="767" spans="1:2">
      <c r="A767" s="29"/>
      <c r="B767" s="30"/>
    </row>
    <row r="768" spans="1:2">
      <c r="A768" s="29"/>
      <c r="B768" s="30"/>
    </row>
    <row r="769" spans="1:2">
      <c r="A769" s="29"/>
      <c r="B769" s="30"/>
    </row>
    <row r="770" spans="1:2">
      <c r="A770" s="29"/>
      <c r="B770" s="30"/>
    </row>
    <row r="771" spans="1:2">
      <c r="A771" s="29"/>
      <c r="B771" s="30"/>
    </row>
    <row r="772" spans="1:2">
      <c r="A772" s="29"/>
      <c r="B772" s="30"/>
    </row>
    <row r="773" spans="1:2">
      <c r="A773" s="29"/>
      <c r="B773" s="30"/>
    </row>
    <row r="774" spans="1:2">
      <c r="A774" s="29"/>
      <c r="B774" s="30"/>
    </row>
    <row r="775" spans="1:2">
      <c r="A775" s="29"/>
      <c r="B775" s="30"/>
    </row>
    <row r="776" spans="1:2">
      <c r="A776" s="29"/>
      <c r="B776" s="30"/>
    </row>
    <row r="777" spans="1:2">
      <c r="A777" s="29"/>
      <c r="B777" s="30"/>
    </row>
    <row r="778" spans="1:2">
      <c r="A778" s="29"/>
      <c r="B778" s="30"/>
    </row>
    <row r="779" spans="1:2">
      <c r="A779" s="29"/>
      <c r="B779" s="30"/>
    </row>
    <row r="780" spans="1:2">
      <c r="A780" s="29"/>
      <c r="B780" s="30"/>
    </row>
    <row r="781" spans="1:2">
      <c r="A781" s="29"/>
      <c r="B781" s="30"/>
    </row>
    <row r="782" spans="1:2">
      <c r="A782" s="29"/>
      <c r="B782" s="30"/>
    </row>
    <row r="783" spans="1:2">
      <c r="A783" s="29"/>
      <c r="B783" s="30"/>
    </row>
    <row r="784" spans="1:2">
      <c r="A784" s="29"/>
      <c r="B784" s="30"/>
    </row>
    <row r="785" spans="1:2">
      <c r="A785" s="29"/>
      <c r="B785" s="30"/>
    </row>
    <row r="786" spans="1:2">
      <c r="A786" s="29"/>
      <c r="B786" s="30"/>
    </row>
    <row r="787" spans="1:2">
      <c r="A787" s="29"/>
      <c r="B787" s="30"/>
    </row>
    <row r="788" spans="1:2">
      <c r="A788" s="29"/>
      <c r="B788" s="30"/>
    </row>
    <row r="789" spans="1:2">
      <c r="A789" s="29"/>
      <c r="B789" s="30"/>
    </row>
    <row r="790" spans="1:2">
      <c r="A790" s="29"/>
      <c r="B790" s="30"/>
    </row>
    <row r="791" spans="1:2">
      <c r="A791" s="29"/>
      <c r="B791" s="30"/>
    </row>
    <row r="792" spans="1:2">
      <c r="A792" s="29"/>
      <c r="B792" s="30"/>
    </row>
    <row r="793" spans="1:2">
      <c r="A793" s="29"/>
      <c r="B793" s="30"/>
    </row>
    <row r="794" spans="1:2">
      <c r="A794" s="29"/>
      <c r="B794" s="30"/>
    </row>
    <row r="795" spans="1:2">
      <c r="A795" s="29"/>
      <c r="B795" s="30"/>
    </row>
    <row r="796" spans="1:2">
      <c r="A796" s="29"/>
      <c r="B796" s="30"/>
    </row>
    <row r="797" spans="1:2">
      <c r="A797" s="29"/>
      <c r="B797" s="30"/>
    </row>
    <row r="798" spans="1:2">
      <c r="A798" s="29"/>
      <c r="B798" s="30"/>
    </row>
    <row r="799" spans="1:2">
      <c r="A799" s="29"/>
      <c r="B799" s="30"/>
    </row>
    <row r="800" spans="1:2">
      <c r="A800" s="29"/>
      <c r="B800" s="30"/>
    </row>
    <row r="801" spans="1:2">
      <c r="A801" s="29"/>
      <c r="B801" s="30"/>
    </row>
    <row r="802" spans="1:2">
      <c r="A802" s="29"/>
      <c r="B802" s="30"/>
    </row>
    <row r="803" spans="1:2">
      <c r="A803" s="29"/>
      <c r="B803" s="30"/>
    </row>
    <row r="804" spans="1:2">
      <c r="A804" s="29"/>
      <c r="B804" s="30"/>
    </row>
    <row r="805" spans="1:2">
      <c r="A805" s="29"/>
      <c r="B805" s="30"/>
    </row>
    <row r="806" spans="1:2">
      <c r="A806" s="29"/>
      <c r="B806" s="30"/>
    </row>
    <row r="807" spans="1:2">
      <c r="A807" s="29"/>
      <c r="B807" s="30"/>
    </row>
    <row r="808" spans="1:2">
      <c r="A808" s="29"/>
      <c r="B808" s="30"/>
    </row>
    <row r="809" spans="1:2">
      <c r="A809" s="29"/>
      <c r="B809" s="30"/>
    </row>
    <row r="810" spans="1:2">
      <c r="A810" s="29"/>
      <c r="B810" s="30"/>
    </row>
    <row r="811" spans="1:2">
      <c r="A811" s="29"/>
      <c r="B811" s="30"/>
    </row>
    <row r="812" spans="1:2">
      <c r="A812" s="29"/>
      <c r="B812" s="30"/>
    </row>
    <row r="813" spans="1:2">
      <c r="A813" s="29"/>
      <c r="B813" s="30"/>
    </row>
    <row r="814" spans="1:2">
      <c r="A814" s="29"/>
      <c r="B814" s="30"/>
    </row>
    <row r="815" spans="1:2">
      <c r="A815" s="29"/>
      <c r="B815" s="30"/>
    </row>
    <row r="816" spans="1:2">
      <c r="A816" s="29"/>
      <c r="B816" s="30"/>
    </row>
    <row r="817" spans="1:2">
      <c r="A817" s="29"/>
      <c r="B817" s="30"/>
    </row>
    <row r="818" spans="1:2">
      <c r="A818" s="29"/>
      <c r="B818" s="30"/>
    </row>
    <row r="819" spans="1:2">
      <c r="A819" s="29"/>
      <c r="B819" s="30"/>
    </row>
    <row r="820" spans="1:2">
      <c r="A820" s="29"/>
      <c r="B820" s="30"/>
    </row>
    <row r="821" spans="1:2">
      <c r="A821" s="29"/>
      <c r="B821" s="30"/>
    </row>
    <row r="822" spans="1:2">
      <c r="A822" s="29"/>
      <c r="B822" s="30"/>
    </row>
    <row r="823" spans="1:2">
      <c r="A823" s="29"/>
      <c r="B823" s="30"/>
    </row>
    <row r="824" spans="1:2">
      <c r="A824" s="29"/>
      <c r="B824" s="30"/>
    </row>
    <row r="825" spans="1:2">
      <c r="A825" s="29"/>
      <c r="B825" s="30"/>
    </row>
    <row r="826" spans="1:2">
      <c r="A826" s="29"/>
      <c r="B826" s="30"/>
    </row>
    <row r="827" spans="1:2">
      <c r="A827" s="29"/>
      <c r="B827" s="30"/>
    </row>
    <row r="828" spans="1:2">
      <c r="A828" s="29"/>
      <c r="B828" s="30"/>
    </row>
    <row r="829" spans="1:2">
      <c r="A829" s="29"/>
      <c r="B829" s="30"/>
    </row>
    <row r="830" spans="1:2">
      <c r="A830" s="29"/>
      <c r="B830" s="30"/>
    </row>
    <row r="831" spans="1:2">
      <c r="A831" s="29"/>
      <c r="B831" s="30"/>
    </row>
    <row r="832" spans="1:2">
      <c r="A832" s="29"/>
      <c r="B832" s="30"/>
    </row>
    <row r="833" spans="1:2">
      <c r="A833" s="29"/>
      <c r="B833" s="30"/>
    </row>
    <row r="834" spans="1:2">
      <c r="A834" s="29"/>
      <c r="B834" s="30"/>
    </row>
    <row r="835" spans="1:2">
      <c r="A835" s="29"/>
      <c r="B835" s="30"/>
    </row>
    <row r="836" spans="1:2">
      <c r="A836" s="29"/>
      <c r="B836" s="30"/>
    </row>
    <row r="837" spans="1:2">
      <c r="A837" s="29"/>
      <c r="B837" s="30"/>
    </row>
    <row r="838" spans="1:2">
      <c r="A838" s="29"/>
      <c r="B838" s="30"/>
    </row>
    <row r="839" spans="1:2">
      <c r="A839" s="29"/>
      <c r="B839" s="30"/>
    </row>
    <row r="840" spans="1:2">
      <c r="A840" s="29"/>
      <c r="B840" s="30"/>
    </row>
    <row r="841" spans="1:2">
      <c r="A841" s="29"/>
      <c r="B841" s="30"/>
    </row>
    <row r="842" spans="1:2">
      <c r="A842" s="29"/>
      <c r="B842" s="30"/>
    </row>
    <row r="843" spans="1:2">
      <c r="A843" s="29"/>
      <c r="B843" s="30"/>
    </row>
    <row r="844" spans="1:2">
      <c r="A844" s="29"/>
      <c r="B844" s="30"/>
    </row>
    <row r="845" spans="1:2">
      <c r="A845" s="29"/>
      <c r="B845" s="30"/>
    </row>
    <row r="846" spans="1:2">
      <c r="A846" s="29"/>
      <c r="B846" s="30"/>
    </row>
    <row r="847" spans="1:2">
      <c r="A847" s="29"/>
      <c r="B847" s="30"/>
    </row>
    <row r="848" spans="1:2">
      <c r="A848" s="29"/>
      <c r="B848" s="30"/>
    </row>
    <row r="849" spans="1:2">
      <c r="A849" s="29"/>
      <c r="B849" s="30"/>
    </row>
    <row r="850" spans="1:2">
      <c r="A850" s="29"/>
      <c r="B850" s="30"/>
    </row>
    <row r="851" spans="1:2">
      <c r="A851" s="29"/>
      <c r="B851" s="30"/>
    </row>
    <row r="852" spans="1:2">
      <c r="A852" s="29"/>
      <c r="B852" s="30"/>
    </row>
    <row r="853" spans="1:2">
      <c r="A853" s="29"/>
      <c r="B853" s="30"/>
    </row>
    <row r="854" spans="1:2">
      <c r="A854" s="29"/>
      <c r="B854" s="30"/>
    </row>
    <row r="855" spans="1:2">
      <c r="A855" s="29"/>
      <c r="B855" s="30"/>
    </row>
    <row r="856" spans="1:2">
      <c r="A856" s="29"/>
      <c r="B856" s="30"/>
    </row>
    <row r="857" spans="1:2">
      <c r="A857" s="29"/>
      <c r="B857" s="30"/>
    </row>
    <row r="858" spans="1:2">
      <c r="A858" s="29"/>
      <c r="B858" s="30"/>
    </row>
    <row r="859" spans="1:2">
      <c r="A859" s="29"/>
      <c r="B859" s="30"/>
    </row>
    <row r="860" spans="1:2">
      <c r="A860" s="29"/>
      <c r="B860" s="30"/>
    </row>
    <row r="861" spans="1:2">
      <c r="A861" s="29"/>
      <c r="B861" s="30"/>
    </row>
    <row r="862" spans="1:2">
      <c r="A862" s="29"/>
      <c r="B862" s="30"/>
    </row>
    <row r="863" spans="1:2">
      <c r="A863" s="29"/>
      <c r="B863" s="30"/>
    </row>
    <row r="864" spans="1:2">
      <c r="A864" s="29"/>
      <c r="B864" s="30"/>
    </row>
    <row r="865" spans="1:2">
      <c r="A865" s="29"/>
      <c r="B865" s="30"/>
    </row>
    <row r="866" spans="1:2">
      <c r="A866" s="29"/>
      <c r="B866" s="30"/>
    </row>
    <row r="867" spans="1:2">
      <c r="A867" s="29"/>
      <c r="B867" s="30"/>
    </row>
    <row r="868" spans="1:2">
      <c r="A868" s="29"/>
      <c r="B868" s="30"/>
    </row>
    <row r="869" spans="1:2">
      <c r="A869" s="29"/>
      <c r="B869" s="30"/>
    </row>
    <row r="870" spans="1:2">
      <c r="A870" s="29"/>
      <c r="B870" s="30"/>
    </row>
    <row r="871" spans="1:2">
      <c r="A871" s="29"/>
      <c r="B871" s="30"/>
    </row>
    <row r="872" spans="1:2">
      <c r="A872" s="29"/>
      <c r="B872" s="30"/>
    </row>
    <row r="873" spans="1:2">
      <c r="A873" s="29"/>
      <c r="B873" s="30"/>
    </row>
    <row r="874" spans="1:2">
      <c r="A874" s="29"/>
      <c r="B874" s="30"/>
    </row>
    <row r="875" spans="1:2">
      <c r="A875" s="29"/>
      <c r="B875" s="30"/>
    </row>
    <row r="876" spans="1:2">
      <c r="A876" s="29"/>
      <c r="B876" s="30"/>
    </row>
    <row r="877" spans="1:2">
      <c r="A877" s="29"/>
      <c r="B877" s="30"/>
    </row>
    <row r="878" spans="1:2">
      <c r="A878" s="29"/>
      <c r="B878" s="30"/>
    </row>
    <row r="879" spans="1:2">
      <c r="A879" s="29"/>
      <c r="B879" s="30"/>
    </row>
    <row r="880" spans="1:2">
      <c r="A880" s="29"/>
      <c r="B880" s="30"/>
    </row>
    <row r="881" spans="1:2">
      <c r="A881" s="29"/>
      <c r="B881" s="30"/>
    </row>
    <row r="882" spans="1:2">
      <c r="A882" s="29"/>
      <c r="B882" s="30"/>
    </row>
    <row r="883" spans="1:2">
      <c r="A883" s="29"/>
      <c r="B883" s="30"/>
    </row>
    <row r="884" spans="1:2">
      <c r="A884" s="29"/>
      <c r="B884" s="30"/>
    </row>
    <row r="885" spans="1:2">
      <c r="A885" s="29"/>
      <c r="B885" s="30"/>
    </row>
    <row r="886" spans="1:2">
      <c r="A886" s="29"/>
      <c r="B886" s="30"/>
    </row>
    <row r="887" spans="1:2">
      <c r="A887" s="29"/>
      <c r="B887" s="30"/>
    </row>
    <row r="888" spans="1:2">
      <c r="A888" s="29"/>
      <c r="B888" s="30"/>
    </row>
    <row r="889" spans="1:2">
      <c r="A889" s="29"/>
      <c r="B889" s="30"/>
    </row>
    <row r="890" spans="1:2">
      <c r="A890" s="29"/>
      <c r="B890" s="30"/>
    </row>
    <row r="891" spans="1:2">
      <c r="A891" s="29"/>
      <c r="B891" s="30"/>
    </row>
    <row r="892" spans="1:2">
      <c r="A892" s="29"/>
      <c r="B892" s="30"/>
    </row>
    <row r="893" spans="1:2">
      <c r="A893" s="29"/>
      <c r="B893" s="30"/>
    </row>
    <row r="894" spans="1:2">
      <c r="A894" s="29"/>
      <c r="B894" s="30"/>
    </row>
    <row r="895" spans="1:2">
      <c r="A895" s="29"/>
      <c r="B895" s="30"/>
    </row>
    <row r="896" spans="1:2">
      <c r="A896" s="29"/>
      <c r="B896" s="30"/>
    </row>
    <row r="897" spans="1:2">
      <c r="A897" s="29"/>
      <c r="B897" s="30"/>
    </row>
    <row r="898" spans="1:2">
      <c r="A898" s="29"/>
      <c r="B898" s="30"/>
    </row>
    <row r="899" spans="1:2">
      <c r="A899" s="29"/>
      <c r="B899" s="30"/>
    </row>
    <row r="900" spans="1:2">
      <c r="A900" s="29"/>
      <c r="B900" s="30"/>
    </row>
    <row r="901" spans="1:2">
      <c r="A901" s="29"/>
      <c r="B901" s="30"/>
    </row>
    <row r="902" spans="1:2">
      <c r="A902" s="29"/>
      <c r="B902" s="30"/>
    </row>
    <row r="903" spans="1:2">
      <c r="A903" s="29"/>
      <c r="B903" s="30"/>
    </row>
    <row r="904" spans="1:2">
      <c r="A904" s="29"/>
      <c r="B904" s="30"/>
    </row>
    <row r="905" spans="1:2">
      <c r="A905" s="29"/>
      <c r="B905" s="30"/>
    </row>
    <row r="906" spans="1:2">
      <c r="A906" s="29"/>
      <c r="B906" s="30"/>
    </row>
    <row r="907" spans="1:2">
      <c r="A907" s="29"/>
      <c r="B907" s="30"/>
    </row>
    <row r="908" spans="1:2">
      <c r="A908" s="29"/>
      <c r="B908" s="30"/>
    </row>
    <row r="909" spans="1:2">
      <c r="A909" s="29"/>
      <c r="B909" s="30"/>
    </row>
    <row r="910" spans="1:2">
      <c r="A910" s="29"/>
      <c r="B910" s="30"/>
    </row>
    <row r="911" spans="1:2">
      <c r="A911" s="29"/>
      <c r="B911" s="30"/>
    </row>
    <row r="912" spans="1:2">
      <c r="A912" s="29"/>
      <c r="B912" s="30"/>
    </row>
    <row r="913" spans="1:2">
      <c r="A913" s="29"/>
      <c r="B913" s="30"/>
    </row>
    <row r="914" spans="1:2">
      <c r="A914" s="29"/>
      <c r="B914" s="30"/>
    </row>
    <row r="915" spans="1:2">
      <c r="A915" s="29"/>
      <c r="B915" s="30"/>
    </row>
    <row r="916" spans="1:2">
      <c r="A916" s="29"/>
      <c r="B916" s="30"/>
    </row>
    <row r="917" spans="1:2">
      <c r="A917" s="29"/>
      <c r="B917" s="30"/>
    </row>
    <row r="918" spans="1:2">
      <c r="A918" s="29"/>
      <c r="B918" s="30"/>
    </row>
    <row r="919" spans="1:2">
      <c r="A919" s="29"/>
      <c r="B919" s="30"/>
    </row>
    <row r="920" spans="1:2">
      <c r="A920" s="29"/>
      <c r="B920" s="30"/>
    </row>
    <row r="921" spans="1:2">
      <c r="A921" s="29"/>
      <c r="B921" s="30"/>
    </row>
    <row r="922" spans="1:2">
      <c r="A922" s="29"/>
      <c r="B922" s="30"/>
    </row>
    <row r="923" spans="1:2">
      <c r="A923" s="29"/>
      <c r="B923" s="30"/>
    </row>
    <row r="924" spans="1:2">
      <c r="A924" s="29"/>
      <c r="B924" s="30"/>
    </row>
    <row r="925" spans="1:2">
      <c r="A925" s="29"/>
      <c r="B925" s="30"/>
    </row>
    <row r="926" spans="1:2">
      <c r="A926" s="29"/>
      <c r="B926" s="30"/>
    </row>
    <row r="927" spans="1:2">
      <c r="A927" s="29"/>
      <c r="B927" s="30"/>
    </row>
    <row r="928" spans="1:2">
      <c r="A928" s="29"/>
      <c r="B928" s="30"/>
    </row>
    <row r="929" spans="1:2">
      <c r="A929" s="29"/>
      <c r="B929" s="30"/>
    </row>
    <row r="930" spans="1:2">
      <c r="A930" s="29"/>
      <c r="B930" s="30"/>
    </row>
    <row r="931" spans="1:2">
      <c r="A931" s="29"/>
      <c r="B931" s="30"/>
    </row>
    <row r="932" spans="1:2">
      <c r="A932" s="29"/>
      <c r="B932" s="30"/>
    </row>
    <row r="933" spans="1:2">
      <c r="A933" s="29"/>
      <c r="B933" s="30"/>
    </row>
    <row r="934" spans="1:2">
      <c r="A934" s="29"/>
      <c r="B934" s="30"/>
    </row>
    <row r="935" spans="1:2">
      <c r="A935" s="29"/>
      <c r="B935" s="30"/>
    </row>
    <row r="936" spans="1:2">
      <c r="A936" s="29"/>
      <c r="B936" s="30"/>
    </row>
    <row r="937" spans="1:2">
      <c r="A937" s="29"/>
      <c r="B937" s="30"/>
    </row>
    <row r="938" spans="1:2">
      <c r="A938" s="29"/>
      <c r="B938" s="30"/>
    </row>
    <row r="939" spans="1:2">
      <c r="A939" s="29"/>
      <c r="B939" s="30"/>
    </row>
    <row r="940" spans="1:2">
      <c r="A940" s="29"/>
      <c r="B940" s="30"/>
    </row>
    <row r="941" spans="1:2">
      <c r="A941" s="29"/>
      <c r="B941" s="30"/>
    </row>
    <row r="942" spans="1:2">
      <c r="A942" s="29"/>
      <c r="B942" s="30"/>
    </row>
    <row r="943" spans="1:2">
      <c r="A943" s="29"/>
      <c r="B943" s="30"/>
    </row>
    <row r="944" spans="1:2">
      <c r="A944" s="29"/>
      <c r="B944" s="30"/>
    </row>
    <row r="945" spans="1:2">
      <c r="A945" s="29"/>
      <c r="B945" s="30"/>
    </row>
    <row r="946" spans="1:2">
      <c r="A946" s="29"/>
      <c r="B946" s="30"/>
    </row>
    <row r="947" spans="1:2">
      <c r="A947" s="29"/>
      <c r="B947" s="30"/>
    </row>
    <row r="948" spans="1:2">
      <c r="A948" s="29"/>
      <c r="B948" s="30"/>
    </row>
    <row r="949" spans="1:2">
      <c r="A949" s="29"/>
      <c r="B949" s="30"/>
    </row>
    <row r="950" spans="1:2">
      <c r="A950" s="29"/>
      <c r="B950" s="30"/>
    </row>
    <row r="951" spans="1:2">
      <c r="A951" s="29"/>
      <c r="B951" s="30"/>
    </row>
    <row r="952" spans="1:2">
      <c r="A952" s="29"/>
      <c r="B952" s="30"/>
    </row>
    <row r="953" spans="1:2">
      <c r="A953" s="29"/>
      <c r="B953" s="30"/>
    </row>
    <row r="954" spans="1:2">
      <c r="A954" s="29"/>
      <c r="B954" s="30"/>
    </row>
    <row r="955" spans="1:2">
      <c r="A955" s="29"/>
      <c r="B955" s="30"/>
    </row>
    <row r="956" spans="1:2">
      <c r="A956" s="29"/>
      <c r="B956" s="30"/>
    </row>
    <row r="957" spans="1:2">
      <c r="A957" s="29"/>
      <c r="B957" s="30"/>
    </row>
    <row r="958" spans="1:2">
      <c r="A958" s="29"/>
      <c r="B958" s="30"/>
    </row>
    <row r="959" spans="1:2">
      <c r="A959" s="29"/>
      <c r="B959" s="30"/>
    </row>
    <row r="960" spans="1:2">
      <c r="A960" s="29"/>
      <c r="B960" s="30"/>
    </row>
    <row r="961" spans="1:2">
      <c r="A961" s="29"/>
      <c r="B961" s="30"/>
    </row>
    <row r="962" spans="1:2">
      <c r="A962" s="29"/>
      <c r="B962" s="30"/>
    </row>
    <row r="963" spans="1:2">
      <c r="A963" s="29"/>
      <c r="B963" s="30"/>
    </row>
    <row r="964" spans="1:2">
      <c r="A964" s="29"/>
      <c r="B964" s="30"/>
    </row>
    <row r="965" spans="1:2">
      <c r="A965" s="29"/>
      <c r="B965" s="30"/>
    </row>
    <row r="966" spans="1:2">
      <c r="A966" s="29"/>
      <c r="B966" s="30"/>
    </row>
    <row r="967" spans="1:2">
      <c r="A967" s="29"/>
      <c r="B967" s="30"/>
    </row>
    <row r="968" spans="1:2">
      <c r="A968" s="29"/>
      <c r="B968" s="30"/>
    </row>
    <row r="969" spans="1:2">
      <c r="A969" s="29"/>
      <c r="B969" s="30"/>
    </row>
    <row r="970" spans="1:2">
      <c r="A970" s="29"/>
      <c r="B970" s="30"/>
    </row>
    <row r="971" spans="1:2">
      <c r="A971" s="29"/>
      <c r="B971" s="30"/>
    </row>
    <row r="972" spans="1:2">
      <c r="A972" s="29"/>
      <c r="B972" s="30"/>
    </row>
    <row r="973" spans="1:2">
      <c r="A973" s="29"/>
      <c r="B973" s="30"/>
    </row>
    <row r="974" spans="1:2">
      <c r="A974" s="29"/>
      <c r="B974" s="30"/>
    </row>
    <row r="975" spans="1:2">
      <c r="A975" s="29"/>
      <c r="B975" s="30"/>
    </row>
    <row r="976" spans="1:2">
      <c r="A976" s="29"/>
      <c r="B976" s="30"/>
    </row>
    <row r="977" spans="1:2">
      <c r="A977" s="29"/>
      <c r="B977" s="30"/>
    </row>
    <row r="978" spans="1:2">
      <c r="A978" s="29"/>
      <c r="B978" s="30"/>
    </row>
    <row r="979" spans="1:2">
      <c r="A979" s="29"/>
      <c r="B979" s="30"/>
    </row>
    <row r="980" spans="1:2">
      <c r="A980" s="29"/>
      <c r="B980" s="30"/>
    </row>
    <row r="981" spans="1:2">
      <c r="A981" s="29"/>
      <c r="B981" s="30"/>
    </row>
    <row r="982" spans="1:2">
      <c r="A982" s="29"/>
      <c r="B982" s="30"/>
    </row>
    <row r="983" spans="1:2">
      <c r="A983" s="29"/>
      <c r="B983" s="30"/>
    </row>
    <row r="984" spans="1:2">
      <c r="A984" s="29"/>
      <c r="B984" s="30"/>
    </row>
    <row r="985" spans="1:2">
      <c r="A985" s="29"/>
      <c r="B985" s="30"/>
    </row>
    <row r="986" spans="1:2">
      <c r="A986" s="29"/>
      <c r="B986" s="30"/>
    </row>
    <row r="987" spans="1:2">
      <c r="A987" s="29"/>
      <c r="B987" s="30"/>
    </row>
    <row r="988" spans="1:2">
      <c r="A988" s="29"/>
      <c r="B988" s="30"/>
    </row>
    <row r="989" spans="1:2">
      <c r="A989" s="29"/>
      <c r="B989" s="30"/>
    </row>
    <row r="990" spans="1:2">
      <c r="A990" s="29"/>
      <c r="B990" s="30"/>
    </row>
    <row r="991" spans="1:2">
      <c r="A991" s="29"/>
      <c r="B991" s="30"/>
    </row>
    <row r="992" spans="1:2">
      <c r="A992" s="29"/>
      <c r="B992" s="30"/>
    </row>
    <row r="993" spans="1:2">
      <c r="A993" s="29"/>
      <c r="B993" s="30"/>
    </row>
    <row r="994" spans="1:2">
      <c r="A994" s="29"/>
      <c r="B994" s="30"/>
    </row>
    <row r="995" spans="1:2">
      <c r="A995" s="29"/>
      <c r="B995" s="30"/>
    </row>
    <row r="996" spans="1:2">
      <c r="A996" s="29"/>
      <c r="B996" s="30"/>
    </row>
    <row r="997" spans="1:2">
      <c r="A997" s="29"/>
      <c r="B997" s="30"/>
    </row>
    <row r="998" spans="1:2">
      <c r="A998" s="29"/>
      <c r="B998" s="30"/>
    </row>
    <row r="999" spans="1:2">
      <c r="A999" s="29"/>
      <c r="B999" s="30"/>
    </row>
    <row r="1000" spans="1:2">
      <c r="A1000" s="29"/>
      <c r="B1000" s="30"/>
    </row>
    <row r="1001" spans="1:2">
      <c r="A1001" s="29"/>
      <c r="B1001" s="30"/>
    </row>
    <row r="1002" spans="1:2">
      <c r="A1002" s="29"/>
      <c r="B1002" s="30"/>
    </row>
    <row r="1003" spans="1:2">
      <c r="A1003" s="29"/>
      <c r="B1003" s="30"/>
    </row>
    <row r="1004" spans="1:2">
      <c r="A1004" s="29"/>
      <c r="B1004" s="30"/>
    </row>
    <row r="1005" spans="1:2">
      <c r="A1005" s="29"/>
      <c r="B1005" s="30"/>
    </row>
    <row r="1006" spans="1:2">
      <c r="A1006" s="29"/>
      <c r="B1006" s="30"/>
    </row>
    <row r="1007" spans="1:2">
      <c r="A1007" s="29"/>
      <c r="B1007" s="30"/>
    </row>
    <row r="1008" spans="1:2">
      <c r="A1008" s="29"/>
      <c r="B1008" s="30"/>
    </row>
    <row r="1009" spans="1:2">
      <c r="A1009" s="29"/>
      <c r="B1009" s="30"/>
    </row>
    <row r="1010" spans="1:2">
      <c r="A1010" s="29"/>
      <c r="B1010" s="30"/>
    </row>
    <row r="1011" spans="1:2">
      <c r="A1011" s="29"/>
      <c r="B1011" s="30"/>
    </row>
    <row r="1012" spans="1:2">
      <c r="A1012" s="29"/>
      <c r="B1012" s="30"/>
    </row>
    <row r="1013" spans="1:2">
      <c r="A1013" s="29"/>
      <c r="B1013" s="30"/>
    </row>
    <row r="1014" spans="1:2">
      <c r="A1014" s="29"/>
      <c r="B1014" s="30"/>
    </row>
    <row r="1015" spans="1:2">
      <c r="A1015" s="29"/>
      <c r="B1015" s="30"/>
    </row>
    <row r="1016" spans="1:2">
      <c r="A1016" s="29"/>
      <c r="B1016" s="30"/>
    </row>
    <row r="1017" spans="1:2">
      <c r="A1017" s="29"/>
      <c r="B1017" s="30"/>
    </row>
    <row r="1018" spans="1:2">
      <c r="A1018" s="29"/>
      <c r="B1018" s="30"/>
    </row>
    <row r="1019" spans="1:2">
      <c r="A1019" s="29"/>
      <c r="B1019" s="30"/>
    </row>
    <row r="1020" spans="1:2">
      <c r="A1020" s="29"/>
      <c r="B1020" s="30"/>
    </row>
    <row r="1021" spans="1:2">
      <c r="A1021" s="29"/>
      <c r="B1021" s="30"/>
    </row>
    <row r="1022" spans="1:2">
      <c r="A1022" s="29"/>
      <c r="B1022" s="30"/>
    </row>
    <row r="1023" spans="1:2">
      <c r="A1023" s="29"/>
      <c r="B1023" s="30"/>
    </row>
    <row r="1024" spans="1:2">
      <c r="A1024" s="29"/>
      <c r="B1024" s="30"/>
    </row>
    <row r="1025" spans="1:2">
      <c r="A1025" s="29"/>
      <c r="B1025" s="30"/>
    </row>
    <row r="1026" spans="1:2">
      <c r="A1026" s="29"/>
      <c r="B1026" s="30"/>
    </row>
    <row r="1027" spans="1:2">
      <c r="A1027" s="29"/>
      <c r="B1027" s="30"/>
    </row>
    <row r="1028" spans="1:2">
      <c r="A1028" s="29"/>
      <c r="B1028" s="30"/>
    </row>
    <row r="1029" spans="1:2">
      <c r="A1029" s="29"/>
      <c r="B1029" s="30"/>
    </row>
    <row r="1030" spans="1:2">
      <c r="A1030" s="29"/>
      <c r="B1030" s="30"/>
    </row>
    <row r="1031" spans="1:2">
      <c r="A1031" s="29"/>
      <c r="B1031" s="30"/>
    </row>
    <row r="1032" spans="1:2">
      <c r="A1032" s="29"/>
      <c r="B1032" s="30"/>
    </row>
    <row r="1033" spans="1:2">
      <c r="A1033" s="29"/>
      <c r="B1033" s="30"/>
    </row>
    <row r="1034" spans="1:2">
      <c r="A1034" s="29"/>
      <c r="B1034" s="30"/>
    </row>
    <row r="1035" spans="1:2">
      <c r="A1035" s="29"/>
      <c r="B1035" s="30"/>
    </row>
    <row r="1036" spans="1:2">
      <c r="A1036" s="29"/>
      <c r="B1036" s="30"/>
    </row>
    <row r="1037" spans="1:2">
      <c r="A1037" s="29"/>
      <c r="B1037" s="30"/>
    </row>
    <row r="1038" spans="1:2">
      <c r="A1038" s="29"/>
      <c r="B1038" s="30"/>
    </row>
    <row r="1039" spans="1:2">
      <c r="A1039" s="29"/>
      <c r="B1039" s="30"/>
    </row>
    <row r="1040" spans="1:2">
      <c r="A1040" s="29"/>
      <c r="B1040" s="30"/>
    </row>
    <row r="1041" spans="1:2">
      <c r="A1041" s="29"/>
      <c r="B1041" s="30"/>
    </row>
    <row r="1042" spans="1:2">
      <c r="A1042" s="29"/>
      <c r="B1042" s="30"/>
    </row>
    <row r="1043" spans="1:2">
      <c r="A1043" s="29"/>
      <c r="B1043" s="30"/>
    </row>
    <row r="1044" spans="1:2">
      <c r="A1044" s="29"/>
      <c r="B1044" s="30"/>
    </row>
    <row r="1045" spans="1:2">
      <c r="A1045" s="29"/>
      <c r="B1045" s="30"/>
    </row>
    <row r="1046" spans="1:2">
      <c r="A1046" s="29"/>
      <c r="B1046" s="30"/>
    </row>
    <row r="1047" spans="1:2">
      <c r="A1047" s="29"/>
      <c r="B1047" s="30"/>
    </row>
    <row r="1048" spans="1:2">
      <c r="A1048" s="29"/>
      <c r="B1048" s="30"/>
    </row>
    <row r="1049" spans="1:2">
      <c r="A1049" s="29"/>
      <c r="B1049" s="30"/>
    </row>
    <row r="1050" spans="1:2">
      <c r="A1050" s="29"/>
      <c r="B1050" s="30"/>
    </row>
    <row r="1051" spans="1:2">
      <c r="A1051" s="29"/>
      <c r="B1051" s="30"/>
    </row>
    <row r="1052" spans="1:2">
      <c r="A1052" s="29"/>
      <c r="B1052" s="30"/>
    </row>
    <row r="1053" spans="1:2">
      <c r="A1053" s="29"/>
      <c r="B1053" s="30"/>
    </row>
    <row r="1054" spans="1:2">
      <c r="A1054" s="29"/>
      <c r="B1054" s="30"/>
    </row>
    <row r="1055" spans="1:2">
      <c r="A1055" s="29"/>
      <c r="B1055" s="30"/>
    </row>
    <row r="1056" spans="1:2">
      <c r="A1056" s="29"/>
      <c r="B1056" s="30"/>
    </row>
    <row r="1057" spans="1:2">
      <c r="A1057" s="29"/>
      <c r="B1057" s="30"/>
    </row>
    <row r="1058" spans="1:2">
      <c r="A1058" s="29"/>
      <c r="B1058" s="30"/>
    </row>
    <row r="1059" spans="1:2">
      <c r="A1059" s="29"/>
      <c r="B1059" s="30"/>
    </row>
    <row r="1060" spans="1:2">
      <c r="A1060" s="29"/>
      <c r="B1060" s="30"/>
    </row>
    <row r="1061" spans="1:2">
      <c r="A1061" s="29"/>
      <c r="B1061" s="30"/>
    </row>
    <row r="1062" spans="1:2">
      <c r="A1062" s="29"/>
      <c r="B1062" s="30"/>
    </row>
    <row r="1063" spans="1:2">
      <c r="A1063" s="29"/>
      <c r="B1063" s="30"/>
    </row>
    <row r="1064" spans="1:2">
      <c r="A1064" s="29"/>
      <c r="B1064" s="30"/>
    </row>
    <row r="1065" spans="1:2">
      <c r="A1065" s="29"/>
      <c r="B1065" s="30"/>
    </row>
    <row r="1066" spans="1:2">
      <c r="A1066" s="29"/>
      <c r="B1066" s="30"/>
    </row>
    <row r="1067" spans="1:2">
      <c r="A1067" s="29"/>
      <c r="B1067" s="30"/>
    </row>
    <row r="1068" spans="1:2">
      <c r="A1068" s="29"/>
      <c r="B1068" s="30"/>
    </row>
    <row r="1069" spans="1:2">
      <c r="A1069" s="29"/>
      <c r="B1069" s="30"/>
    </row>
    <row r="1070" spans="1:2">
      <c r="A1070" s="29"/>
      <c r="B1070" s="30"/>
    </row>
    <row r="1071" spans="1:2">
      <c r="A1071" s="29"/>
      <c r="B1071" s="30"/>
    </row>
    <row r="1072" spans="1:2">
      <c r="A1072" s="29"/>
      <c r="B1072" s="30"/>
    </row>
    <row r="1073" spans="1:2">
      <c r="A1073" s="29"/>
      <c r="B1073" s="30"/>
    </row>
    <row r="1074" spans="1:2">
      <c r="A1074" s="29"/>
      <c r="B1074" s="30"/>
    </row>
    <row r="1075" spans="1:2">
      <c r="A1075" s="29"/>
      <c r="B1075" s="30"/>
    </row>
    <row r="1076" spans="1:2">
      <c r="A1076" s="29"/>
      <c r="B1076" s="30"/>
    </row>
    <row r="1077" spans="1:2">
      <c r="A1077" s="29"/>
      <c r="B1077" s="30"/>
    </row>
    <row r="1078" spans="1:2">
      <c r="A1078" s="29"/>
      <c r="B1078" s="30"/>
    </row>
    <row r="1079" spans="1:2">
      <c r="A1079" s="29"/>
      <c r="B1079" s="30"/>
    </row>
    <row r="1080" spans="1:2">
      <c r="A1080" s="29"/>
      <c r="B1080" s="30"/>
    </row>
    <row r="1081" spans="1:2">
      <c r="A1081" s="29"/>
      <c r="B1081" s="30"/>
    </row>
    <row r="1082" spans="1:2">
      <c r="A1082" s="29"/>
      <c r="B1082" s="30"/>
    </row>
    <row r="1083" spans="1:2">
      <c r="A1083" s="29"/>
      <c r="B1083" s="30"/>
    </row>
    <row r="1084" spans="1:2">
      <c r="A1084" s="29"/>
      <c r="B1084" s="30"/>
    </row>
    <row r="1085" spans="1:2">
      <c r="A1085" s="29"/>
      <c r="B1085" s="30"/>
    </row>
    <row r="1086" spans="1:2">
      <c r="A1086" s="29"/>
      <c r="B1086" s="30"/>
    </row>
    <row r="1087" spans="1:2">
      <c r="A1087" s="29"/>
      <c r="B1087" s="30"/>
    </row>
    <row r="1088" spans="1:2">
      <c r="A1088" s="29"/>
      <c r="B1088" s="30"/>
    </row>
    <row r="1089" spans="1:2">
      <c r="A1089" s="29"/>
      <c r="B1089" s="30"/>
    </row>
    <row r="1090" spans="1:2">
      <c r="A1090" s="29"/>
      <c r="B1090" s="30"/>
    </row>
    <row r="1091" spans="1:2">
      <c r="A1091" s="29"/>
      <c r="B1091" s="30"/>
    </row>
    <row r="1092" spans="1:2">
      <c r="A1092" s="29"/>
      <c r="B1092" s="30"/>
    </row>
    <row r="1093" spans="1:2">
      <c r="A1093" s="29"/>
      <c r="B1093" s="30"/>
    </row>
    <row r="1094" spans="1:2">
      <c r="A1094" s="29"/>
      <c r="B1094" s="30"/>
    </row>
    <row r="1095" spans="1:2">
      <c r="A1095" s="29"/>
      <c r="B1095" s="30"/>
    </row>
    <row r="1096" spans="1:2">
      <c r="A1096" s="29"/>
      <c r="B1096" s="30"/>
    </row>
    <row r="1097" spans="1:2">
      <c r="A1097" s="29"/>
      <c r="B1097" s="30"/>
    </row>
    <row r="1098" spans="1:2">
      <c r="A1098" s="29"/>
      <c r="B1098" s="30"/>
    </row>
    <row r="1099" spans="1:2">
      <c r="A1099" s="29"/>
      <c r="B1099" s="30"/>
    </row>
    <row r="1100" spans="1:2">
      <c r="A1100" s="29"/>
      <c r="B1100" s="30"/>
    </row>
    <row r="1101" spans="1:2">
      <c r="A1101" s="29"/>
      <c r="B1101" s="30"/>
    </row>
    <row r="1102" spans="1:2">
      <c r="A1102" s="29"/>
      <c r="B1102" s="30"/>
    </row>
    <row r="1103" spans="1:2">
      <c r="A1103" s="29"/>
      <c r="B1103" s="30"/>
    </row>
    <row r="1104" spans="1:2">
      <c r="A1104" s="29"/>
      <c r="B1104" s="30"/>
    </row>
    <row r="1105" spans="1:2">
      <c r="A1105" s="29"/>
      <c r="B1105" s="30"/>
    </row>
    <row r="1106" spans="1:2">
      <c r="A1106" s="29"/>
      <c r="B1106" s="30"/>
    </row>
    <row r="1107" spans="1:2">
      <c r="A1107" s="29"/>
      <c r="B1107" s="30"/>
    </row>
    <row r="1108" spans="1:2">
      <c r="A1108" s="29"/>
      <c r="B1108" s="30"/>
    </row>
    <row r="1109" spans="1:2">
      <c r="A1109" s="29"/>
      <c r="B1109" s="30"/>
    </row>
    <row r="1110" spans="1:2">
      <c r="A1110" s="29"/>
      <c r="B1110" s="30"/>
    </row>
    <row r="1111" spans="1:2">
      <c r="A1111" s="29"/>
      <c r="B1111" s="30"/>
    </row>
    <row r="1112" spans="1:2">
      <c r="A1112" s="29"/>
      <c r="B1112" s="30"/>
    </row>
    <row r="1113" spans="1:2">
      <c r="A1113" s="29"/>
      <c r="B1113" s="30"/>
    </row>
    <row r="1114" spans="1:2">
      <c r="A1114" s="29"/>
      <c r="B1114" s="30"/>
    </row>
    <row r="1115" spans="1:2">
      <c r="A1115" s="29"/>
      <c r="B1115" s="30"/>
    </row>
    <row r="1116" spans="1:2">
      <c r="A1116" s="29"/>
      <c r="B1116" s="30"/>
    </row>
    <row r="1117" spans="1:2">
      <c r="A1117" s="29"/>
      <c r="B1117" s="30"/>
    </row>
    <row r="1118" spans="1:2">
      <c r="A1118" s="29"/>
      <c r="B1118" s="30"/>
    </row>
    <row r="1119" spans="1:2">
      <c r="A1119" s="29"/>
      <c r="B1119" s="30"/>
    </row>
    <row r="1120" spans="1:2">
      <c r="A1120" s="29"/>
      <c r="B1120" s="30"/>
    </row>
    <row r="1121" spans="1:2">
      <c r="A1121" s="29"/>
      <c r="B1121" s="30"/>
    </row>
    <row r="1122" spans="1:2">
      <c r="A1122" s="29"/>
      <c r="B1122" s="30"/>
    </row>
    <row r="1123" spans="1:2">
      <c r="A1123" s="29"/>
      <c r="B1123" s="30"/>
    </row>
    <row r="1124" spans="1:2">
      <c r="A1124" s="29"/>
      <c r="B1124" s="30"/>
    </row>
    <row r="1125" spans="1:2">
      <c r="A1125" s="29"/>
      <c r="B1125" s="30"/>
    </row>
    <row r="1126" spans="1:2">
      <c r="A1126" s="29"/>
      <c r="B1126" s="30"/>
    </row>
    <row r="1127" spans="1:2">
      <c r="A1127" s="29"/>
      <c r="B1127" s="30"/>
    </row>
    <row r="1128" spans="1:2">
      <c r="A1128" s="29"/>
      <c r="B1128" s="30"/>
    </row>
    <row r="1129" spans="1:2">
      <c r="A1129" s="29"/>
      <c r="B1129" s="30"/>
    </row>
    <row r="1130" spans="1:2">
      <c r="A1130" s="29"/>
      <c r="B1130" s="30"/>
    </row>
    <row r="1131" spans="1:2">
      <c r="A1131" s="29"/>
      <c r="B1131" s="30"/>
    </row>
    <row r="1132" spans="1:2">
      <c r="A1132" s="29"/>
      <c r="B1132" s="30"/>
    </row>
    <row r="1133" spans="1:2">
      <c r="A1133" s="29"/>
      <c r="B1133" s="30"/>
    </row>
    <row r="1134" spans="1:2">
      <c r="A1134" s="29"/>
      <c r="B1134" s="30"/>
    </row>
    <row r="1135" spans="1:2">
      <c r="A1135" s="29"/>
      <c r="B1135" s="30"/>
    </row>
    <row r="1136" spans="1:2">
      <c r="A1136" s="29"/>
      <c r="B1136" s="30"/>
    </row>
    <row r="1137" spans="1:2">
      <c r="A1137" s="29"/>
      <c r="B1137" s="30"/>
    </row>
    <row r="1138" spans="1:2">
      <c r="A1138" s="29"/>
      <c r="B1138" s="30"/>
    </row>
    <row r="1139" spans="1:2">
      <c r="A1139" s="29"/>
      <c r="B1139" s="30"/>
    </row>
    <row r="1140" spans="1:2">
      <c r="A1140" s="29"/>
      <c r="B1140" s="30"/>
    </row>
    <row r="1141" spans="1:2">
      <c r="A1141" s="29"/>
      <c r="B1141" s="30"/>
    </row>
    <row r="1142" spans="1:2">
      <c r="A1142" s="29"/>
      <c r="B1142" s="30"/>
    </row>
    <row r="1143" spans="1:2">
      <c r="A1143" s="29"/>
      <c r="B1143" s="30"/>
    </row>
    <row r="1144" spans="1:2">
      <c r="A1144" s="29"/>
      <c r="B1144" s="30"/>
    </row>
    <row r="1145" spans="1:2">
      <c r="A1145" s="29"/>
      <c r="B1145" s="30"/>
    </row>
    <row r="1146" spans="1:2">
      <c r="A1146" s="29"/>
      <c r="B1146" s="30"/>
    </row>
    <row r="1147" spans="1:2">
      <c r="A1147" s="29"/>
      <c r="B1147" s="30"/>
    </row>
    <row r="1148" spans="1:2">
      <c r="A1148" s="29"/>
      <c r="B1148" s="30"/>
    </row>
    <row r="1149" spans="1:2">
      <c r="A1149" s="29"/>
      <c r="B1149" s="30"/>
    </row>
    <row r="1150" spans="1:2">
      <c r="A1150" s="29"/>
      <c r="B1150" s="30"/>
    </row>
    <row r="1151" spans="1:2">
      <c r="A1151" s="29"/>
      <c r="B1151" s="30"/>
    </row>
    <row r="1152" spans="1:2">
      <c r="A1152" s="29"/>
      <c r="B1152" s="30"/>
    </row>
    <row r="1153" spans="1:2">
      <c r="A1153" s="29"/>
      <c r="B1153" s="30"/>
    </row>
    <row r="1154" spans="1:2">
      <c r="A1154" s="29"/>
      <c r="B1154" s="30"/>
    </row>
    <row r="1155" spans="1:2">
      <c r="A1155" s="29"/>
      <c r="B1155" s="30"/>
    </row>
    <row r="1156" spans="1:2">
      <c r="A1156" s="29"/>
      <c r="B1156" s="30"/>
    </row>
    <row r="1157" spans="1:2">
      <c r="A1157" s="29"/>
      <c r="B1157" s="30"/>
    </row>
    <row r="1158" spans="1:2">
      <c r="A1158" s="29"/>
      <c r="B1158" s="30"/>
    </row>
    <row r="1159" spans="1:2">
      <c r="A1159" s="29"/>
      <c r="B1159" s="30"/>
    </row>
    <row r="1160" spans="1:2">
      <c r="A1160" s="29"/>
      <c r="B1160" s="30"/>
    </row>
    <row r="1161" spans="1:2">
      <c r="A1161" s="29"/>
      <c r="B1161" s="30"/>
    </row>
    <row r="1162" spans="1:2">
      <c r="A1162" s="29"/>
      <c r="B1162" s="30"/>
    </row>
    <row r="1163" spans="1:2">
      <c r="A1163" s="29"/>
      <c r="B1163" s="30"/>
    </row>
    <row r="1164" spans="1:2">
      <c r="A1164" s="29"/>
      <c r="B1164" s="30"/>
    </row>
    <row r="1165" spans="1:2">
      <c r="A1165" s="29"/>
      <c r="B1165" s="30"/>
    </row>
    <row r="1166" spans="1:2">
      <c r="A1166" s="29"/>
      <c r="B1166" s="30"/>
    </row>
    <row r="1167" spans="1:2">
      <c r="A1167" s="29"/>
      <c r="B1167" s="30"/>
    </row>
    <row r="1168" spans="1:2">
      <c r="A1168" s="29"/>
      <c r="B1168" s="30"/>
    </row>
    <row r="1169" spans="1:2">
      <c r="A1169" s="29"/>
      <c r="B1169" s="30"/>
    </row>
    <row r="1170" spans="1:2">
      <c r="A1170" s="29"/>
      <c r="B1170" s="30"/>
    </row>
    <row r="1171" spans="1:2">
      <c r="A1171" s="29"/>
      <c r="B1171" s="30"/>
    </row>
    <row r="1172" spans="1:2">
      <c r="A1172" s="29"/>
      <c r="B1172" s="30"/>
    </row>
    <row r="1173" spans="1:2">
      <c r="A1173" s="29"/>
      <c r="B1173" s="30"/>
    </row>
    <row r="1174" spans="1:2">
      <c r="A1174" s="29"/>
      <c r="B1174" s="30"/>
    </row>
    <row r="1175" spans="1:2">
      <c r="A1175" s="29"/>
      <c r="B1175" s="30"/>
    </row>
    <row r="1176" spans="1:2">
      <c r="A1176" s="29"/>
      <c r="B1176" s="30"/>
    </row>
    <row r="1177" spans="1:2">
      <c r="A1177" s="29"/>
      <c r="B1177" s="30"/>
    </row>
    <row r="1178" spans="1:2">
      <c r="A1178" s="29"/>
      <c r="B1178" s="30"/>
    </row>
    <row r="1179" spans="1:2">
      <c r="A1179" s="29"/>
      <c r="B1179" s="30"/>
    </row>
    <row r="1180" spans="1:2">
      <c r="A1180" s="29"/>
      <c r="B1180" s="30"/>
    </row>
    <row r="1181" spans="1:2">
      <c r="A1181" s="29"/>
      <c r="B1181" s="30"/>
    </row>
    <row r="1182" spans="1:2">
      <c r="A1182" s="29"/>
      <c r="B1182" s="30"/>
    </row>
    <row r="1183" spans="1:2">
      <c r="A1183" s="29"/>
      <c r="B1183" s="30"/>
    </row>
    <row r="1184" spans="1:2">
      <c r="A1184" s="29"/>
      <c r="B1184" s="30"/>
    </row>
    <row r="1185" spans="1:2">
      <c r="A1185" s="29"/>
      <c r="B1185" s="30"/>
    </row>
    <row r="1186" spans="1:2">
      <c r="A1186" s="29"/>
      <c r="B1186" s="30"/>
    </row>
    <row r="1187" spans="1:2">
      <c r="A1187" s="29"/>
      <c r="B1187" s="30"/>
    </row>
    <row r="1188" spans="1:2">
      <c r="A1188" s="29"/>
      <c r="B1188" s="30"/>
    </row>
    <row r="1189" spans="1:2">
      <c r="A1189" s="29"/>
      <c r="B1189" s="30"/>
    </row>
    <row r="1190" spans="1:2">
      <c r="A1190" s="29"/>
      <c r="B1190" s="30"/>
    </row>
    <row r="1191" spans="1:2">
      <c r="A1191" s="29"/>
      <c r="B1191" s="30"/>
    </row>
    <row r="1192" spans="1:2">
      <c r="A1192" s="29"/>
      <c r="B1192" s="30"/>
    </row>
    <row r="1193" spans="1:2">
      <c r="A1193" s="29"/>
      <c r="B1193" s="30"/>
    </row>
    <row r="1194" spans="1:2">
      <c r="A1194" s="29"/>
      <c r="B1194" s="30"/>
    </row>
    <row r="1195" spans="1:2">
      <c r="A1195" s="29"/>
      <c r="B1195" s="30"/>
    </row>
    <row r="1196" spans="1:2">
      <c r="A1196" s="29"/>
      <c r="B1196" s="30"/>
    </row>
    <row r="1197" spans="1:2">
      <c r="A1197" s="29"/>
      <c r="B1197" s="30"/>
    </row>
    <row r="1198" spans="1:2">
      <c r="A1198" s="29"/>
      <c r="B1198" s="30"/>
    </row>
    <row r="1199" spans="1:2">
      <c r="A1199" s="29"/>
      <c r="B1199" s="30"/>
    </row>
    <row r="1200" spans="1:2">
      <c r="A1200" s="29"/>
      <c r="B1200" s="30"/>
    </row>
    <row r="1201" spans="1:2">
      <c r="A1201" s="29"/>
      <c r="B1201" s="30"/>
    </row>
    <row r="1202" spans="1:2">
      <c r="A1202" s="29"/>
      <c r="B1202" s="30"/>
    </row>
    <row r="1203" spans="1:2">
      <c r="A1203" s="29"/>
      <c r="B1203" s="30"/>
    </row>
    <row r="1204" spans="1:2">
      <c r="A1204" s="29"/>
      <c r="B1204" s="30"/>
    </row>
    <row r="1205" spans="1:2">
      <c r="A1205" s="29"/>
      <c r="B1205" s="30"/>
    </row>
    <row r="1206" spans="1:2">
      <c r="A1206" s="29"/>
      <c r="B1206" s="30"/>
    </row>
    <row r="1207" spans="1:2">
      <c r="A1207" s="29"/>
      <c r="B1207" s="30"/>
    </row>
    <row r="1208" spans="1:2">
      <c r="A1208" s="29"/>
      <c r="B1208" s="30"/>
    </row>
    <row r="1209" spans="1:2">
      <c r="A1209" s="29"/>
      <c r="B1209" s="30"/>
    </row>
    <row r="1210" spans="1:2">
      <c r="A1210" s="29"/>
      <c r="B1210" s="30"/>
    </row>
    <row r="1211" spans="1:2">
      <c r="A1211" s="29"/>
      <c r="B1211" s="30"/>
    </row>
    <row r="1212" spans="1:2">
      <c r="A1212" s="29"/>
      <c r="B1212" s="30"/>
    </row>
    <row r="1213" spans="1:2">
      <c r="A1213" s="29"/>
      <c r="B1213" s="30"/>
    </row>
    <row r="1214" spans="1:2">
      <c r="A1214" s="29"/>
      <c r="B1214" s="30"/>
    </row>
    <row r="1215" spans="1:2">
      <c r="A1215" s="29"/>
      <c r="B1215" s="30"/>
    </row>
    <row r="1216" spans="1:2">
      <c r="A1216" s="29"/>
      <c r="B1216" s="30"/>
    </row>
    <row r="1217" spans="1:2">
      <c r="A1217" s="29"/>
      <c r="B1217" s="30"/>
    </row>
    <row r="1218" spans="1:2">
      <c r="A1218" s="29"/>
      <c r="B1218" s="30"/>
    </row>
    <row r="1219" spans="1:2">
      <c r="A1219" s="29"/>
      <c r="B1219" s="30"/>
    </row>
    <row r="1220" spans="1:2">
      <c r="A1220" s="29"/>
      <c r="B1220" s="30"/>
    </row>
    <row r="1221" spans="1:2">
      <c r="A1221" s="29"/>
      <c r="B1221" s="30"/>
    </row>
    <row r="1222" spans="1:2">
      <c r="A1222" s="29"/>
      <c r="B1222" s="30"/>
    </row>
    <row r="1223" spans="1:2">
      <c r="A1223" s="29"/>
      <c r="B1223" s="30"/>
    </row>
    <row r="1224" spans="1:2">
      <c r="A1224" s="29"/>
      <c r="B1224" s="30"/>
    </row>
    <row r="1225" spans="1:2">
      <c r="A1225" s="29"/>
      <c r="B1225" s="30"/>
    </row>
    <row r="1226" spans="1:2">
      <c r="A1226" s="29"/>
      <c r="B1226" s="30"/>
    </row>
    <row r="1227" spans="1:2">
      <c r="A1227" s="29"/>
      <c r="B1227" s="30"/>
    </row>
    <row r="1228" spans="1:2">
      <c r="A1228" s="29"/>
      <c r="B1228" s="30"/>
    </row>
    <row r="1229" spans="1:2">
      <c r="A1229" s="29"/>
      <c r="B1229" s="30"/>
    </row>
    <row r="1230" spans="1:2">
      <c r="A1230" s="29"/>
      <c r="B1230" s="30"/>
    </row>
    <row r="1231" spans="1:2">
      <c r="A1231" s="29"/>
      <c r="B1231" s="30"/>
    </row>
    <row r="1232" spans="1:2">
      <c r="A1232" s="29"/>
      <c r="B1232" s="30"/>
    </row>
    <row r="1233" spans="1:2">
      <c r="A1233" s="29"/>
      <c r="B1233" s="30"/>
    </row>
    <row r="1234" spans="1:2">
      <c r="A1234" s="29"/>
      <c r="B1234" s="30"/>
    </row>
    <row r="1235" spans="1:2">
      <c r="A1235" s="29"/>
      <c r="B1235" s="30"/>
    </row>
    <row r="1236" spans="1:2">
      <c r="A1236" s="29"/>
      <c r="B1236" s="30"/>
    </row>
    <row r="1237" spans="1:2">
      <c r="A1237" s="29"/>
      <c r="B1237" s="30"/>
    </row>
    <row r="1238" spans="1:2">
      <c r="A1238" s="29"/>
      <c r="B1238" s="30"/>
    </row>
    <row r="1239" spans="1:2">
      <c r="A1239" s="29"/>
      <c r="B1239" s="30"/>
    </row>
    <row r="1240" spans="1:2">
      <c r="A1240" s="29"/>
      <c r="B1240" s="30"/>
    </row>
    <row r="1241" spans="1:2">
      <c r="A1241" s="29"/>
      <c r="B1241" s="30"/>
    </row>
    <row r="1242" spans="1:2">
      <c r="A1242" s="29"/>
      <c r="B1242" s="30"/>
    </row>
    <row r="1243" spans="1:2">
      <c r="A1243" s="29"/>
      <c r="B1243" s="30"/>
    </row>
    <row r="1244" spans="1:2">
      <c r="A1244" s="29"/>
      <c r="B1244" s="30"/>
    </row>
    <row r="1245" spans="1:2">
      <c r="A1245" s="29"/>
      <c r="B1245" s="30"/>
    </row>
    <row r="1246" spans="1:2">
      <c r="A1246" s="29"/>
      <c r="B1246" s="30"/>
    </row>
    <row r="1247" spans="1:2">
      <c r="A1247" s="29"/>
      <c r="B1247" s="30"/>
    </row>
    <row r="1248" spans="1:2">
      <c r="A1248" s="29"/>
      <c r="B1248" s="30"/>
    </row>
    <row r="1249" spans="1:2">
      <c r="A1249" s="29"/>
      <c r="B1249" s="30"/>
    </row>
    <row r="1250" spans="1:2">
      <c r="A1250" s="29"/>
      <c r="B1250" s="30"/>
    </row>
    <row r="1251" spans="1:2">
      <c r="A1251" s="29"/>
      <c r="B1251" s="30"/>
    </row>
    <row r="1252" spans="1:2">
      <c r="A1252" s="29"/>
      <c r="B1252" s="30"/>
    </row>
    <row r="1253" spans="1:2">
      <c r="A1253" s="29"/>
      <c r="B1253" s="30"/>
    </row>
    <row r="1254" spans="1:2">
      <c r="A1254" s="29"/>
      <c r="B1254" s="30"/>
    </row>
    <row r="1255" spans="1:2">
      <c r="A1255" s="29"/>
      <c r="B1255" s="30"/>
    </row>
    <row r="1256" spans="1:2">
      <c r="A1256" s="29"/>
      <c r="B1256" s="30"/>
    </row>
    <row r="1257" spans="1:2">
      <c r="A1257" s="29"/>
      <c r="B1257" s="30"/>
    </row>
    <row r="1258" spans="1:2">
      <c r="A1258" s="29"/>
      <c r="B1258" s="30"/>
    </row>
    <row r="1259" spans="1:2">
      <c r="A1259" s="29"/>
      <c r="B1259" s="30"/>
    </row>
    <row r="1260" spans="1:2">
      <c r="A1260" s="29"/>
      <c r="B1260" s="30"/>
    </row>
    <row r="1261" spans="1:2">
      <c r="A1261" s="29"/>
      <c r="B1261" s="30"/>
    </row>
    <row r="1262" spans="1:2">
      <c r="A1262" s="29"/>
      <c r="B1262" s="30"/>
    </row>
    <row r="1263" spans="1:2">
      <c r="A1263" s="29"/>
      <c r="B1263" s="30"/>
    </row>
    <row r="1264" spans="1:2">
      <c r="A1264" s="29"/>
      <c r="B1264" s="30"/>
    </row>
    <row r="1265" spans="1:2">
      <c r="A1265" s="29"/>
      <c r="B1265" s="30"/>
    </row>
    <row r="1266" spans="1:2">
      <c r="A1266" s="29"/>
      <c r="B1266" s="30"/>
    </row>
    <row r="1267" spans="1:2">
      <c r="A1267" s="29"/>
      <c r="B1267" s="30"/>
    </row>
    <row r="1268" spans="1:2">
      <c r="A1268" s="29"/>
      <c r="B1268" s="30"/>
    </row>
    <row r="1269" spans="1:2">
      <c r="A1269" s="29"/>
      <c r="B1269" s="30"/>
    </row>
    <row r="1270" spans="1:2">
      <c r="A1270" s="29"/>
      <c r="B1270" s="30"/>
    </row>
    <row r="1271" spans="1:2">
      <c r="A1271" s="29"/>
      <c r="B1271" s="30"/>
    </row>
    <row r="1272" spans="1:2">
      <c r="A1272" s="29"/>
      <c r="B1272" s="30"/>
    </row>
    <row r="1273" spans="1:2">
      <c r="A1273" s="29"/>
      <c r="B1273" s="30"/>
    </row>
    <row r="1274" spans="1:2">
      <c r="A1274" s="29"/>
      <c r="B1274" s="30"/>
    </row>
    <row r="1275" spans="1:2">
      <c r="A1275" s="29"/>
      <c r="B1275" s="30"/>
    </row>
    <row r="1276" spans="1:2">
      <c r="A1276" s="29"/>
      <c r="B1276" s="30"/>
    </row>
    <row r="1277" spans="1:2">
      <c r="A1277" s="29"/>
      <c r="B1277" s="30"/>
    </row>
    <row r="1278" spans="1:2">
      <c r="A1278" s="29"/>
      <c r="B1278" s="30"/>
    </row>
    <row r="1279" spans="1:2">
      <c r="A1279" s="29"/>
      <c r="B1279" s="30"/>
    </row>
    <row r="1280" spans="1:2">
      <c r="A1280" s="29"/>
      <c r="B1280" s="30"/>
    </row>
    <row r="1281" spans="1:2">
      <c r="A1281" s="29"/>
      <c r="B1281" s="30"/>
    </row>
    <row r="1282" spans="1:2">
      <c r="A1282" s="29"/>
      <c r="B1282" s="30"/>
    </row>
    <row r="1283" spans="1:2">
      <c r="A1283" s="29"/>
      <c r="B1283" s="30"/>
    </row>
    <row r="1284" spans="1:2">
      <c r="A1284" s="29"/>
      <c r="B1284" s="30"/>
    </row>
    <row r="1285" spans="1:2">
      <c r="A1285" s="29"/>
      <c r="B1285" s="30"/>
    </row>
    <row r="1286" spans="1:2">
      <c r="A1286" s="29"/>
      <c r="B1286" s="30"/>
    </row>
    <row r="1287" spans="1:2">
      <c r="A1287" s="29"/>
      <c r="B1287" s="30"/>
    </row>
    <row r="1288" spans="1:2">
      <c r="A1288" s="29"/>
      <c r="B1288" s="30"/>
    </row>
    <row r="1289" spans="1:2">
      <c r="A1289" s="29"/>
      <c r="B1289" s="30"/>
    </row>
    <row r="1290" spans="1:2">
      <c r="A1290" s="29"/>
      <c r="B1290" s="30"/>
    </row>
    <row r="1291" spans="1:2">
      <c r="A1291" s="29"/>
      <c r="B1291" s="30"/>
    </row>
    <row r="1292" spans="1:2">
      <c r="A1292" s="29"/>
      <c r="B1292" s="30"/>
    </row>
    <row r="1293" spans="1:2">
      <c r="A1293" s="29"/>
      <c r="B1293" s="30"/>
    </row>
    <row r="1294" spans="1:2">
      <c r="A1294" s="29"/>
      <c r="B1294" s="30"/>
    </row>
    <row r="1295" spans="1:2">
      <c r="A1295" s="29"/>
      <c r="B1295" s="30"/>
    </row>
    <row r="1296" spans="1:2">
      <c r="A1296" s="29"/>
      <c r="B1296" s="30"/>
    </row>
    <row r="1297" spans="1:2">
      <c r="A1297" s="29"/>
      <c r="B1297" s="30"/>
    </row>
    <row r="1298" spans="1:2">
      <c r="A1298" s="29"/>
      <c r="B1298" s="30"/>
    </row>
    <row r="1299" spans="1:2">
      <c r="A1299" s="29"/>
      <c r="B1299" s="30"/>
    </row>
    <row r="1300" spans="1:2">
      <c r="A1300" s="29"/>
      <c r="B1300" s="30"/>
    </row>
    <row r="1301" spans="1:2">
      <c r="A1301" s="29"/>
      <c r="B1301" s="30"/>
    </row>
    <row r="1302" spans="1:2">
      <c r="A1302" s="29"/>
      <c r="B1302" s="30"/>
    </row>
    <row r="1303" spans="1:2">
      <c r="A1303" s="29"/>
      <c r="B1303" s="30"/>
    </row>
    <row r="1304" spans="1:2">
      <c r="A1304" s="29"/>
      <c r="B1304" s="30"/>
    </row>
    <row r="1305" spans="1:2">
      <c r="A1305" s="29"/>
      <c r="B1305" s="30"/>
    </row>
    <row r="1306" spans="1:2">
      <c r="A1306" s="29"/>
      <c r="B1306" s="30"/>
    </row>
    <row r="1307" spans="1:2">
      <c r="A1307" s="29"/>
      <c r="B1307" s="30"/>
    </row>
    <row r="1308" spans="1:2">
      <c r="A1308" s="29"/>
      <c r="B1308" s="30"/>
    </row>
    <row r="1309" spans="1:2">
      <c r="A1309" s="29"/>
      <c r="B1309" s="30"/>
    </row>
    <row r="1310" spans="1:2">
      <c r="A1310" s="29"/>
      <c r="B1310" s="30"/>
    </row>
    <row r="1311" spans="1:2">
      <c r="A1311" s="29"/>
      <c r="B1311" s="30"/>
    </row>
    <row r="1312" spans="1:2">
      <c r="A1312" s="29"/>
      <c r="B1312" s="30"/>
    </row>
    <row r="1313" spans="1:2">
      <c r="A1313" s="29"/>
      <c r="B1313" s="30"/>
    </row>
    <row r="1314" spans="1:2">
      <c r="A1314" s="29"/>
      <c r="B1314" s="30"/>
    </row>
    <row r="1315" spans="1:2">
      <c r="A1315" s="29"/>
      <c r="B1315" s="30"/>
    </row>
    <row r="1316" spans="1:2">
      <c r="A1316" s="29"/>
      <c r="B1316" s="30"/>
    </row>
    <row r="1317" spans="1:2">
      <c r="A1317" s="29"/>
      <c r="B1317" s="30"/>
    </row>
    <row r="1318" spans="1:2">
      <c r="A1318" s="29"/>
      <c r="B1318" s="30"/>
    </row>
    <row r="1319" spans="1:2">
      <c r="A1319" s="29"/>
      <c r="B1319" s="30"/>
    </row>
    <row r="1320" spans="1:2">
      <c r="A1320" s="29"/>
      <c r="B1320" s="30"/>
    </row>
    <row r="1321" spans="1:2">
      <c r="A1321" s="29"/>
      <c r="B1321" s="30"/>
    </row>
    <row r="1322" spans="1:2">
      <c r="A1322" s="29"/>
      <c r="B1322" s="30"/>
    </row>
    <row r="1323" spans="1:2">
      <c r="A1323" s="29"/>
      <c r="B1323" s="30"/>
    </row>
    <row r="1324" spans="1:2">
      <c r="A1324" s="29"/>
      <c r="B1324" s="30"/>
    </row>
    <row r="1325" spans="1:2">
      <c r="A1325" s="29"/>
      <c r="B1325" s="30"/>
    </row>
    <row r="1326" spans="1:2">
      <c r="A1326" s="29"/>
      <c r="B1326" s="30"/>
    </row>
    <row r="1327" spans="1:2">
      <c r="A1327" s="29"/>
      <c r="B1327" s="30"/>
    </row>
    <row r="1328" spans="1:2">
      <c r="A1328" s="29"/>
      <c r="B1328" s="30"/>
    </row>
    <row r="1329" spans="1:2">
      <c r="A1329" s="29"/>
      <c r="B1329" s="30"/>
    </row>
    <row r="1330" spans="1:2">
      <c r="A1330" s="29"/>
      <c r="B1330" s="30"/>
    </row>
    <row r="1331" spans="1:2">
      <c r="A1331" s="29"/>
      <c r="B1331" s="30"/>
    </row>
    <row r="1332" spans="1:2">
      <c r="A1332" s="29"/>
      <c r="B1332" s="30"/>
    </row>
    <row r="1333" spans="1:2">
      <c r="A1333" s="29"/>
      <c r="B1333" s="30"/>
    </row>
    <row r="1334" spans="1:2">
      <c r="A1334" s="29"/>
      <c r="B1334" s="30"/>
    </row>
    <row r="1335" spans="1:2">
      <c r="A1335" s="29"/>
      <c r="B1335" s="30"/>
    </row>
    <row r="1336" spans="1:2">
      <c r="A1336" s="29"/>
      <c r="B1336" s="30"/>
    </row>
    <row r="1337" spans="1:2">
      <c r="A1337" s="29"/>
      <c r="B1337" s="30"/>
    </row>
    <row r="1338" spans="1:2">
      <c r="A1338" s="29"/>
      <c r="B1338" s="30"/>
    </row>
    <row r="1339" spans="1:2">
      <c r="A1339" s="29"/>
      <c r="B1339" s="30"/>
    </row>
    <row r="1340" spans="1:2">
      <c r="A1340" s="29"/>
      <c r="B1340" s="30"/>
    </row>
    <row r="1341" spans="1:2">
      <c r="A1341" s="29"/>
      <c r="B1341" s="30"/>
    </row>
    <row r="1342" spans="1:2">
      <c r="A1342" s="29"/>
      <c r="B1342" s="30"/>
    </row>
    <row r="1343" spans="1:2">
      <c r="A1343" s="29"/>
      <c r="B1343" s="30"/>
    </row>
    <row r="1344" spans="1:2">
      <c r="A1344" s="29"/>
      <c r="B1344" s="30"/>
    </row>
    <row r="1345" spans="1:2">
      <c r="A1345" s="29"/>
      <c r="B1345" s="30"/>
    </row>
    <row r="1346" spans="1:2">
      <c r="A1346" s="29"/>
      <c r="B1346" s="30"/>
    </row>
    <row r="1347" spans="1:2">
      <c r="A1347" s="29"/>
      <c r="B1347" s="30"/>
    </row>
    <row r="1348" spans="1:2">
      <c r="A1348" s="29"/>
      <c r="B1348" s="30"/>
    </row>
    <row r="1349" spans="1:2">
      <c r="A1349" s="29"/>
      <c r="B1349" s="30"/>
    </row>
    <row r="1350" spans="1:2">
      <c r="A1350" s="29"/>
      <c r="B1350" s="30"/>
    </row>
    <row r="1351" spans="1:2">
      <c r="A1351" s="29"/>
      <c r="B1351" s="30"/>
    </row>
    <row r="1352" spans="1:2">
      <c r="A1352" s="29"/>
      <c r="B1352" s="30"/>
    </row>
    <row r="1353" spans="1:2">
      <c r="A1353" s="29"/>
      <c r="B1353" s="30"/>
    </row>
    <row r="1354" spans="1:2">
      <c r="A1354" s="29"/>
      <c r="B1354" s="30"/>
    </row>
    <row r="1355" spans="1:2">
      <c r="A1355" s="29"/>
      <c r="B1355" s="30"/>
    </row>
    <row r="1356" spans="1:2">
      <c r="A1356" s="29"/>
      <c r="B1356" s="30"/>
    </row>
    <row r="1357" spans="1:2">
      <c r="A1357" s="29"/>
      <c r="B1357" s="30"/>
    </row>
    <row r="1358" spans="1:2">
      <c r="A1358" s="29"/>
      <c r="B1358" s="30"/>
    </row>
    <row r="1359" spans="1:2">
      <c r="A1359" s="29"/>
      <c r="B1359" s="30"/>
    </row>
    <row r="1360" spans="1:2">
      <c r="A1360" s="29"/>
      <c r="B1360" s="30"/>
    </row>
    <row r="1361" spans="1:2">
      <c r="A1361" s="29"/>
      <c r="B1361" s="30"/>
    </row>
    <row r="1362" spans="1:2">
      <c r="A1362" s="29"/>
      <c r="B1362" s="30"/>
    </row>
    <row r="1363" spans="1:2">
      <c r="A1363" s="29"/>
      <c r="B1363" s="30"/>
    </row>
    <row r="1364" spans="1:2">
      <c r="A1364" s="29"/>
      <c r="B1364" s="30"/>
    </row>
    <row r="1365" spans="1:2">
      <c r="A1365" s="29"/>
      <c r="B1365" s="30"/>
    </row>
    <row r="1366" spans="1:2">
      <c r="A1366" s="29"/>
      <c r="B1366" s="30"/>
    </row>
    <row r="1367" spans="1:2">
      <c r="A1367" s="29"/>
      <c r="B1367" s="30"/>
    </row>
    <row r="1368" spans="1:2">
      <c r="A1368" s="29"/>
      <c r="B1368" s="30"/>
    </row>
    <row r="1369" spans="1:2">
      <c r="A1369" s="29"/>
      <c r="B1369" s="30"/>
    </row>
    <row r="1370" spans="1:2">
      <c r="A1370" s="29"/>
      <c r="B1370" s="30"/>
    </row>
    <row r="1371" spans="1:2">
      <c r="A1371" s="29"/>
      <c r="B1371" s="30"/>
    </row>
    <row r="1372" spans="1:2">
      <c r="A1372" s="29"/>
      <c r="B1372" s="30"/>
    </row>
    <row r="1373" spans="1:2">
      <c r="A1373" s="29"/>
      <c r="B1373" s="30"/>
    </row>
    <row r="1374" spans="1:2">
      <c r="A1374" s="29"/>
      <c r="B1374" s="30"/>
    </row>
    <row r="1375" spans="1:2">
      <c r="A1375" s="29"/>
      <c r="B1375" s="30"/>
    </row>
    <row r="1376" spans="1:2">
      <c r="A1376" s="29"/>
      <c r="B1376" s="30"/>
    </row>
    <row r="1377" spans="1:3">
      <c r="A1377" s="29"/>
      <c r="B1377" s="30"/>
    </row>
    <row r="1378" spans="1:3">
      <c r="A1378" s="29"/>
      <c r="B1378" s="30"/>
    </row>
    <row r="1379" spans="1:3">
      <c r="A1379" s="29"/>
      <c r="B1379" s="30"/>
    </row>
    <row r="1380" spans="1:3">
      <c r="A1380" s="29"/>
      <c r="B1380" s="30"/>
    </row>
    <row r="1381" spans="1:3">
      <c r="A1381" s="29"/>
      <c r="B1381" s="30"/>
    </row>
    <row r="1382" spans="1:3">
      <c r="A1382" s="29"/>
      <c r="B1382" s="30"/>
    </row>
    <row r="1383" spans="1:3">
      <c r="A1383" s="29"/>
      <c r="B1383" s="30"/>
    </row>
    <row r="1384" spans="1:3">
      <c r="A1384" s="29"/>
      <c r="B1384" s="30"/>
    </row>
    <row r="1385" spans="1:3">
      <c r="A1385" s="29"/>
      <c r="B1385" s="30"/>
    </row>
    <row r="1386" spans="1:3">
      <c r="A1386" s="29"/>
      <c r="B1386" s="30"/>
    </row>
    <row r="1387" spans="1:3">
      <c r="A1387" s="29"/>
      <c r="B1387" s="30"/>
    </row>
    <row r="1388" spans="1:3">
      <c r="A1388" s="29"/>
      <c r="B1388" s="30"/>
    </row>
    <row r="1389" spans="1:3">
      <c r="A1389" s="29"/>
      <c r="B1389" s="30"/>
    </row>
    <row r="1390" spans="1:3">
      <c r="A1390" s="29"/>
      <c r="B1390" s="30"/>
    </row>
    <row r="1391" spans="1:3">
      <c r="A1391" s="29"/>
      <c r="B1391" s="30"/>
    </row>
    <row r="1392" spans="1:3">
      <c r="A1392" s="29"/>
      <c r="B1392" s="30"/>
      <c r="C1392" s="116"/>
    </row>
    <row r="1393" spans="1:2">
      <c r="A1393" s="29"/>
      <c r="B1393" s="30"/>
    </row>
    <row r="1394" spans="1:2">
      <c r="A1394" s="29"/>
      <c r="B1394" s="30"/>
    </row>
    <row r="1395" spans="1:2">
      <c r="A1395" s="29"/>
      <c r="B1395" s="30"/>
    </row>
    <row r="1396" spans="1:2">
      <c r="A1396" s="29"/>
      <c r="B1396" s="30"/>
    </row>
    <row r="1397" spans="1:2">
      <c r="A1397" s="29"/>
      <c r="B1397" s="30"/>
    </row>
    <row r="1398" spans="1:2">
      <c r="A1398" s="29"/>
      <c r="B1398" s="30"/>
    </row>
    <row r="1399" spans="1:2">
      <c r="A1399" s="29"/>
      <c r="B1399" s="30"/>
    </row>
    <row r="1400" spans="1:2">
      <c r="A1400" s="29"/>
      <c r="B1400" s="30"/>
    </row>
    <row r="1401" spans="1:2">
      <c r="A1401" s="29"/>
      <c r="B1401" s="30"/>
    </row>
    <row r="1402" spans="1:2">
      <c r="A1402" s="29"/>
      <c r="B1402" s="30"/>
    </row>
    <row r="1403" spans="1:2">
      <c r="A1403" s="29"/>
      <c r="B1403" s="30"/>
    </row>
    <row r="1404" spans="1:2">
      <c r="A1404" s="29"/>
      <c r="B1404" s="30"/>
    </row>
    <row r="1405" spans="1:2">
      <c r="A1405" s="29"/>
      <c r="B1405" s="30"/>
    </row>
    <row r="1406" spans="1:2">
      <c r="A1406" s="29"/>
      <c r="B1406" s="30"/>
    </row>
    <row r="1407" spans="1:2">
      <c r="A1407" s="29"/>
      <c r="B1407" s="30"/>
    </row>
    <row r="1408" spans="1:2">
      <c r="A1408" s="29"/>
      <c r="B1408" s="30"/>
    </row>
    <row r="1409" spans="1:2">
      <c r="A1409" s="29"/>
      <c r="B1409" s="30"/>
    </row>
    <row r="1410" spans="1:2">
      <c r="A1410" s="29"/>
      <c r="B1410" s="30"/>
    </row>
    <row r="1411" spans="1:2">
      <c r="A1411" s="29"/>
      <c r="B1411" s="30"/>
    </row>
    <row r="1412" spans="1:2">
      <c r="A1412" s="29"/>
      <c r="B1412" s="30"/>
    </row>
    <row r="1413" spans="1:2">
      <c r="A1413" s="29"/>
      <c r="B1413" s="30"/>
    </row>
    <row r="1414" spans="1:2">
      <c r="A1414" s="29"/>
      <c r="B1414" s="30"/>
    </row>
    <row r="1415" spans="1:2">
      <c r="A1415" s="29"/>
      <c r="B1415" s="30"/>
    </row>
    <row r="1416" spans="1:2">
      <c r="A1416" s="29"/>
      <c r="B1416" s="30"/>
    </row>
    <row r="1417" spans="1:2">
      <c r="A1417" s="29"/>
      <c r="B1417" s="30"/>
    </row>
    <row r="1418" spans="1:2">
      <c r="A1418" s="29"/>
      <c r="B1418" s="30"/>
    </row>
    <row r="1419" spans="1:2">
      <c r="A1419" s="29"/>
      <c r="B1419" s="30"/>
    </row>
    <row r="1420" spans="1:2">
      <c r="A1420" s="29"/>
      <c r="B1420" s="30"/>
    </row>
    <row r="1421" spans="1:2">
      <c r="A1421" s="29"/>
      <c r="B1421" s="30"/>
    </row>
    <row r="1422" spans="1:2">
      <c r="A1422" s="29"/>
      <c r="B1422" s="30"/>
    </row>
    <row r="1423" spans="1:2">
      <c r="A1423" s="29"/>
      <c r="B1423" s="30"/>
    </row>
    <row r="1424" spans="1:2">
      <c r="A1424" s="29"/>
      <c r="B1424" s="30"/>
    </row>
    <row r="1425" spans="1:2">
      <c r="A1425" s="29"/>
      <c r="B1425" s="30"/>
    </row>
    <row r="1426" spans="1:2">
      <c r="A1426" s="29"/>
      <c r="B1426" s="30"/>
    </row>
    <row r="1427" spans="1:2">
      <c r="A1427" s="29"/>
      <c r="B1427" s="30"/>
    </row>
    <row r="1428" spans="1:2">
      <c r="A1428" s="29"/>
      <c r="B1428" s="30"/>
    </row>
    <row r="1429" spans="1:2">
      <c r="A1429" s="29"/>
      <c r="B1429" s="30"/>
    </row>
    <row r="1430" spans="1:2">
      <c r="A1430" s="29"/>
      <c r="B1430" s="30"/>
    </row>
    <row r="1431" spans="1:2">
      <c r="A1431" s="29"/>
      <c r="B1431" s="30"/>
    </row>
    <row r="1432" spans="1:2">
      <c r="A1432" s="29"/>
      <c r="B1432" s="30"/>
    </row>
    <row r="1433" spans="1:2">
      <c r="A1433" s="29"/>
      <c r="B1433" s="30"/>
    </row>
    <row r="1434" spans="1:2">
      <c r="A1434" s="29"/>
      <c r="B1434" s="30"/>
    </row>
    <row r="1435" spans="1:2">
      <c r="A1435" s="29"/>
      <c r="B1435" s="30"/>
    </row>
    <row r="1436" spans="1:2">
      <c r="A1436" s="29"/>
      <c r="B1436" s="30"/>
    </row>
    <row r="1437" spans="1:2">
      <c r="A1437" s="29"/>
      <c r="B1437" s="30"/>
    </row>
    <row r="1438" spans="1:2">
      <c r="A1438" s="29"/>
      <c r="B1438" s="30"/>
    </row>
    <row r="1439" spans="1:2">
      <c r="A1439" s="29"/>
      <c r="B1439" s="30"/>
    </row>
    <row r="1440" spans="1:2">
      <c r="A1440" s="29"/>
      <c r="B1440" s="30"/>
    </row>
    <row r="1441" spans="1:2">
      <c r="A1441" s="29"/>
      <c r="B1441" s="30"/>
    </row>
    <row r="1442" spans="1:2">
      <c r="A1442" s="29"/>
      <c r="B1442" s="30"/>
    </row>
    <row r="1443" spans="1:2">
      <c r="A1443" s="29"/>
      <c r="B1443" s="30"/>
    </row>
    <row r="1444" spans="1:2">
      <c r="A1444" s="29"/>
      <c r="B1444" s="30"/>
    </row>
    <row r="1445" spans="1:2">
      <c r="A1445" s="29"/>
      <c r="B1445" s="30"/>
    </row>
    <row r="1446" spans="1:2">
      <c r="A1446" s="29"/>
      <c r="B1446" s="30"/>
    </row>
    <row r="1447" spans="1:2">
      <c r="A1447" s="29"/>
      <c r="B1447" s="30"/>
    </row>
    <row r="1448" spans="1:2">
      <c r="A1448" s="29"/>
      <c r="B1448" s="30"/>
    </row>
    <row r="1449" spans="1:2">
      <c r="A1449" s="29"/>
      <c r="B1449" s="30"/>
    </row>
    <row r="1450" spans="1:2">
      <c r="A1450" s="29"/>
      <c r="B1450" s="30"/>
    </row>
    <row r="1451" spans="1:2">
      <c r="A1451" s="29"/>
      <c r="B1451" s="30"/>
    </row>
    <row r="1452" spans="1:2">
      <c r="A1452" s="29"/>
      <c r="B1452" s="30"/>
    </row>
    <row r="1453" spans="1:2">
      <c r="A1453" s="29"/>
      <c r="B1453" s="30"/>
    </row>
    <row r="1454" spans="1:2">
      <c r="A1454" s="29"/>
      <c r="B1454" s="30"/>
    </row>
    <row r="1455" spans="1:2">
      <c r="A1455" s="29"/>
      <c r="B1455" s="30"/>
    </row>
    <row r="1456" spans="1:2">
      <c r="A1456" s="29"/>
      <c r="B1456" s="30"/>
    </row>
    <row r="1457" spans="1:2">
      <c r="A1457" s="29"/>
      <c r="B1457" s="30"/>
    </row>
    <row r="1458" spans="1:2">
      <c r="A1458" s="29"/>
      <c r="B1458" s="30"/>
    </row>
    <row r="1459" spans="1:2">
      <c r="A1459" s="29"/>
      <c r="B1459" s="30"/>
    </row>
    <row r="1460" spans="1:2">
      <c r="A1460" s="29"/>
      <c r="B1460" s="30"/>
    </row>
    <row r="1461" spans="1:2">
      <c r="A1461" s="29"/>
      <c r="B1461" s="30"/>
    </row>
    <row r="1462" spans="1:2">
      <c r="A1462" s="29"/>
      <c r="B1462" s="30"/>
    </row>
    <row r="1463" spans="1:2">
      <c r="A1463" s="29"/>
      <c r="B1463" s="30"/>
    </row>
    <row r="1464" spans="1:2">
      <c r="A1464" s="29"/>
      <c r="B1464" s="30"/>
    </row>
    <row r="1465" spans="1:2">
      <c r="A1465" s="29"/>
      <c r="B1465" s="30"/>
    </row>
    <row r="1466" spans="1:2">
      <c r="A1466" s="29"/>
      <c r="B1466" s="30"/>
    </row>
    <row r="1467" spans="1:2">
      <c r="A1467" s="29"/>
      <c r="B1467" s="30"/>
    </row>
    <row r="1468" spans="1:2">
      <c r="A1468" s="29"/>
      <c r="B1468" s="30"/>
    </row>
    <row r="1469" spans="1:2">
      <c r="A1469" s="29"/>
      <c r="B1469" s="30"/>
    </row>
    <row r="1470" spans="1:2">
      <c r="A1470" s="29"/>
      <c r="B1470" s="30"/>
    </row>
    <row r="1471" spans="1:2">
      <c r="A1471" s="29"/>
      <c r="B1471" s="30"/>
    </row>
    <row r="1472" spans="1:2">
      <c r="A1472" s="29"/>
      <c r="B1472" s="30"/>
    </row>
    <row r="1473" spans="1:2">
      <c r="A1473" s="29"/>
      <c r="B1473" s="30"/>
    </row>
    <row r="1474" spans="1:2">
      <c r="A1474" s="29"/>
      <c r="B1474" s="30"/>
    </row>
    <row r="1475" spans="1:2">
      <c r="A1475" s="29"/>
      <c r="B1475" s="30"/>
    </row>
    <row r="1476" spans="1:2">
      <c r="A1476" s="29"/>
      <c r="B1476" s="30"/>
    </row>
    <row r="1477" spans="1:2">
      <c r="A1477" s="29"/>
      <c r="B1477" s="30"/>
    </row>
    <row r="1478" spans="1:2">
      <c r="A1478" s="29"/>
      <c r="B1478" s="30"/>
    </row>
    <row r="1479" spans="1:2">
      <c r="A1479" s="29"/>
      <c r="B1479" s="30"/>
    </row>
    <row r="1480" spans="1:2">
      <c r="A1480" s="29"/>
      <c r="B1480" s="30"/>
    </row>
    <row r="1481" spans="1:2">
      <c r="A1481" s="29"/>
      <c r="B1481" s="30"/>
    </row>
    <row r="1482" spans="1:2">
      <c r="A1482" s="29"/>
      <c r="B1482" s="30"/>
    </row>
    <row r="1483" spans="1:2">
      <c r="A1483" s="29"/>
      <c r="B1483" s="30"/>
    </row>
    <row r="1484" spans="1:2">
      <c r="A1484" s="29"/>
      <c r="B1484" s="30"/>
    </row>
    <row r="1485" spans="1:2">
      <c r="A1485" s="29"/>
      <c r="B1485" s="30"/>
    </row>
    <row r="1486" spans="1:2">
      <c r="A1486" s="29"/>
      <c r="B1486" s="30"/>
    </row>
    <row r="1487" spans="1:2">
      <c r="A1487" s="29"/>
      <c r="B1487" s="30"/>
    </row>
    <row r="1488" spans="1:2">
      <c r="A1488" s="29"/>
      <c r="B1488" s="30"/>
    </row>
    <row r="1489" spans="1:2">
      <c r="A1489" s="29"/>
      <c r="B1489" s="30"/>
    </row>
    <row r="1490" spans="1:2">
      <c r="A1490" s="29"/>
      <c r="B1490" s="30"/>
    </row>
    <row r="1491" spans="1:2">
      <c r="A1491" s="29"/>
      <c r="B1491" s="30"/>
    </row>
    <row r="1492" spans="1:2">
      <c r="A1492" s="29"/>
      <c r="B1492" s="30"/>
    </row>
    <row r="1493" spans="1:2">
      <c r="A1493" s="29"/>
      <c r="B1493" s="30"/>
    </row>
    <row r="1494" spans="1:2">
      <c r="A1494" s="29"/>
      <c r="B1494" s="30"/>
    </row>
    <row r="1495" spans="1:2">
      <c r="A1495" s="29"/>
      <c r="B1495" s="30"/>
    </row>
    <row r="1496" spans="1:2">
      <c r="A1496" s="29"/>
      <c r="B1496" s="30"/>
    </row>
    <row r="1497" spans="1:2">
      <c r="A1497" s="29"/>
      <c r="B1497" s="30"/>
    </row>
    <row r="1498" spans="1:2">
      <c r="A1498" s="29"/>
      <c r="B1498" s="30"/>
    </row>
    <row r="1499" spans="1:2">
      <c r="A1499" s="29"/>
      <c r="B1499" s="30"/>
    </row>
    <row r="1500" spans="1:2">
      <c r="A1500" s="29"/>
      <c r="B1500" s="30"/>
    </row>
    <row r="1501" spans="1:2">
      <c r="A1501" s="29"/>
      <c r="B1501" s="30"/>
    </row>
    <row r="1502" spans="1:2">
      <c r="A1502" s="29"/>
      <c r="B1502" s="30"/>
    </row>
    <row r="1503" spans="1:2">
      <c r="A1503" s="29"/>
      <c r="B1503" s="30"/>
    </row>
    <row r="1504" spans="1:2">
      <c r="A1504" s="29"/>
      <c r="B1504" s="30"/>
    </row>
    <row r="1505" spans="1:2">
      <c r="A1505" s="29"/>
      <c r="B1505" s="30"/>
    </row>
    <row r="1506" spans="1:2">
      <c r="A1506" s="29"/>
      <c r="B1506" s="30"/>
    </row>
    <row r="1507" spans="1:2">
      <c r="A1507" s="29"/>
      <c r="B1507" s="30"/>
    </row>
    <row r="1508" spans="1:2">
      <c r="A1508" s="29"/>
      <c r="B1508" s="30"/>
    </row>
    <row r="1509" spans="1:2">
      <c r="A1509" s="29"/>
      <c r="B1509" s="30"/>
    </row>
    <row r="1510" spans="1:2">
      <c r="A1510" s="29"/>
      <c r="B1510" s="30"/>
    </row>
    <row r="1511" spans="1:2">
      <c r="A1511" s="29"/>
      <c r="B1511" s="30"/>
    </row>
    <row r="1512" spans="1:2">
      <c r="A1512" s="29"/>
      <c r="B1512" s="30"/>
    </row>
    <row r="1513" spans="1:2">
      <c r="A1513" s="29"/>
      <c r="B1513" s="30"/>
    </row>
    <row r="1514" spans="1:2">
      <c r="A1514" s="29"/>
      <c r="B1514" s="30"/>
    </row>
    <row r="1515" spans="1:2">
      <c r="A1515" s="29"/>
      <c r="B1515" s="30"/>
    </row>
    <row r="1516" spans="1:2">
      <c r="A1516" s="29"/>
      <c r="B1516" s="30"/>
    </row>
    <row r="1517" spans="1:2">
      <c r="A1517" s="29"/>
      <c r="B1517" s="30"/>
    </row>
    <row r="1518" spans="1:2">
      <c r="A1518" s="29"/>
      <c r="B1518" s="30"/>
    </row>
    <row r="1519" spans="1:2">
      <c r="A1519" s="29"/>
      <c r="B1519" s="30"/>
    </row>
    <row r="1520" spans="1:2">
      <c r="A1520" s="29"/>
      <c r="B1520" s="30"/>
    </row>
    <row r="1521" spans="1:2">
      <c r="A1521" s="29"/>
      <c r="B1521" s="30"/>
    </row>
    <row r="1522" spans="1:2">
      <c r="A1522" s="29"/>
      <c r="B1522" s="30"/>
    </row>
    <row r="1523" spans="1:2">
      <c r="A1523" s="29"/>
      <c r="B1523" s="30"/>
    </row>
    <row r="1524" spans="1:2">
      <c r="A1524" s="29"/>
      <c r="B1524" s="30"/>
    </row>
    <row r="1525" spans="1:2">
      <c r="A1525" s="29"/>
      <c r="B1525" s="30"/>
    </row>
    <row r="1526" spans="1:2">
      <c r="A1526" s="29"/>
      <c r="B1526" s="30"/>
    </row>
    <row r="1527" spans="1:2">
      <c r="A1527" s="29"/>
      <c r="B1527" s="30"/>
    </row>
    <row r="1528" spans="1:2">
      <c r="A1528" s="29"/>
      <c r="B1528" s="30"/>
    </row>
    <row r="1529" spans="1:2">
      <c r="A1529" s="29"/>
      <c r="B1529" s="30"/>
    </row>
    <row r="1530" spans="1:2">
      <c r="A1530" s="29"/>
      <c r="B1530" s="30"/>
    </row>
    <row r="1531" spans="1:2">
      <c r="A1531" s="29"/>
      <c r="B1531" s="30"/>
    </row>
    <row r="1532" spans="1:2">
      <c r="A1532" s="29"/>
      <c r="B1532" s="30"/>
    </row>
    <row r="1533" spans="1:2">
      <c r="A1533" s="29"/>
      <c r="B1533" s="30"/>
    </row>
    <row r="1534" spans="1:2">
      <c r="A1534" s="29"/>
      <c r="B1534" s="30"/>
    </row>
    <row r="1535" spans="1:2">
      <c r="A1535" s="29"/>
      <c r="B1535" s="30"/>
    </row>
    <row r="1536" spans="1:2">
      <c r="A1536" s="29"/>
      <c r="B1536" s="30"/>
    </row>
    <row r="1537" spans="1:2">
      <c r="A1537" s="29"/>
      <c r="B1537" s="30"/>
    </row>
    <row r="1538" spans="1:2">
      <c r="A1538" s="29"/>
      <c r="B1538" s="30"/>
    </row>
    <row r="1539" spans="1:2">
      <c r="A1539" s="29"/>
      <c r="B1539" s="30"/>
    </row>
    <row r="1540" spans="1:2">
      <c r="A1540" s="29"/>
      <c r="B1540" s="30"/>
    </row>
    <row r="1541" spans="1:2">
      <c r="A1541" s="29"/>
      <c r="B1541" s="30"/>
    </row>
    <row r="1542" spans="1:2">
      <c r="A1542" s="29"/>
      <c r="B1542" s="30"/>
    </row>
    <row r="1543" spans="1:2">
      <c r="A1543" s="29"/>
      <c r="B1543" s="30"/>
    </row>
    <row r="1544" spans="1:2">
      <c r="A1544" s="29"/>
      <c r="B1544" s="30"/>
    </row>
    <row r="1545" spans="1:2">
      <c r="A1545" s="29"/>
      <c r="B1545" s="30"/>
    </row>
    <row r="1546" spans="1:2">
      <c r="A1546" s="29"/>
      <c r="B1546" s="30"/>
    </row>
    <row r="1547" spans="1:2">
      <c r="A1547" s="29"/>
      <c r="B1547" s="30"/>
    </row>
    <row r="1548" spans="1:2">
      <c r="A1548" s="29"/>
      <c r="B1548" s="30"/>
    </row>
    <row r="1549" spans="1:2">
      <c r="A1549" s="29"/>
      <c r="B1549" s="30"/>
    </row>
    <row r="1550" spans="1:2">
      <c r="A1550" s="29"/>
      <c r="B1550" s="30"/>
    </row>
    <row r="1551" spans="1:2">
      <c r="A1551" s="29"/>
      <c r="B1551" s="30"/>
    </row>
    <row r="1552" spans="1:2">
      <c r="A1552" s="29"/>
      <c r="B1552" s="30"/>
    </row>
    <row r="1553" spans="1:2">
      <c r="A1553" s="29"/>
      <c r="B1553" s="30"/>
    </row>
    <row r="1554" spans="1:2">
      <c r="A1554" s="29"/>
      <c r="B1554" s="30"/>
    </row>
    <row r="1555" spans="1:2">
      <c r="A1555" s="29"/>
      <c r="B1555" s="30"/>
    </row>
    <row r="1556" spans="1:2">
      <c r="A1556" s="29"/>
      <c r="B1556" s="30"/>
    </row>
    <row r="1557" spans="1:2">
      <c r="A1557" s="29"/>
      <c r="B1557" s="30"/>
    </row>
    <row r="1558" spans="1:2">
      <c r="A1558" s="29"/>
      <c r="B1558" s="30"/>
    </row>
    <row r="1559" spans="1:2">
      <c r="A1559" s="29"/>
      <c r="B1559" s="30"/>
    </row>
    <row r="1560" spans="1:2">
      <c r="A1560" s="29"/>
      <c r="B1560" s="30"/>
    </row>
    <row r="1561" spans="1:2">
      <c r="A1561" s="29"/>
      <c r="B1561" s="30"/>
    </row>
    <row r="1562" spans="1:2">
      <c r="A1562" s="29"/>
      <c r="B1562" s="30"/>
    </row>
    <row r="1563" spans="1:2">
      <c r="A1563" s="29"/>
      <c r="B1563" s="30"/>
    </row>
    <row r="1564" spans="1:2">
      <c r="A1564" s="29"/>
      <c r="B1564" s="30"/>
    </row>
    <row r="1565" spans="1:2">
      <c r="A1565" s="29"/>
      <c r="B1565" s="30"/>
    </row>
    <row r="1566" spans="1:2">
      <c r="A1566" s="29"/>
      <c r="B1566" s="30"/>
    </row>
    <row r="1567" spans="1:2">
      <c r="A1567" s="29"/>
      <c r="B1567" s="30"/>
    </row>
    <row r="1568" spans="1:2">
      <c r="A1568" s="29"/>
      <c r="B1568" s="30"/>
    </row>
    <row r="1569" spans="1:2">
      <c r="A1569" s="29"/>
      <c r="B1569" s="30"/>
    </row>
    <row r="1570" spans="1:2">
      <c r="A1570" s="29"/>
      <c r="B1570" s="30"/>
    </row>
    <row r="1571" spans="1:2">
      <c r="A1571" s="29"/>
      <c r="B1571" s="30"/>
    </row>
    <row r="1572" spans="1:2">
      <c r="A1572" s="29"/>
      <c r="B1572" s="30"/>
    </row>
    <row r="1573" spans="1:2">
      <c r="A1573" s="29"/>
      <c r="B1573" s="30"/>
    </row>
    <row r="1574" spans="1:2">
      <c r="A1574" s="29"/>
      <c r="B1574" s="30"/>
    </row>
    <row r="1575" spans="1:2">
      <c r="A1575" s="29"/>
      <c r="B1575" s="30"/>
    </row>
    <row r="1576" spans="1:2">
      <c r="A1576" s="29"/>
      <c r="B1576" s="30"/>
    </row>
    <row r="1577" spans="1:2">
      <c r="A1577" s="29"/>
      <c r="B1577" s="30"/>
    </row>
    <row r="1578" spans="1:2">
      <c r="A1578" s="29"/>
      <c r="B1578" s="30"/>
    </row>
    <row r="1579" spans="1:2">
      <c r="A1579" s="29"/>
      <c r="B1579" s="30"/>
    </row>
    <row r="1580" spans="1:2">
      <c r="A1580" s="29"/>
      <c r="B1580" s="30"/>
    </row>
    <row r="1581" spans="1:2">
      <c r="A1581" s="29"/>
      <c r="B1581" s="30"/>
    </row>
    <row r="1582" spans="1:2">
      <c r="A1582" s="29"/>
      <c r="B1582" s="30"/>
    </row>
    <row r="1583" spans="1:2">
      <c r="A1583" s="29"/>
      <c r="B1583" s="30"/>
    </row>
    <row r="1584" spans="1:2">
      <c r="A1584" s="29"/>
      <c r="B1584" s="30"/>
    </row>
    <row r="1585" spans="1:2">
      <c r="A1585" s="29"/>
      <c r="B1585" s="30"/>
    </row>
    <row r="1586" spans="1:2">
      <c r="A1586" s="29"/>
      <c r="B1586" s="30"/>
    </row>
    <row r="1587" spans="1:2">
      <c r="A1587" s="29"/>
      <c r="B1587" s="30"/>
    </row>
    <row r="1588" spans="1:2">
      <c r="A1588" s="29"/>
      <c r="B1588" s="30"/>
    </row>
    <row r="1589" spans="1:2">
      <c r="A1589" s="29"/>
      <c r="B1589" s="30"/>
    </row>
    <row r="1590" spans="1:2">
      <c r="A1590" s="29"/>
      <c r="B1590" s="30"/>
    </row>
    <row r="1591" spans="1:2">
      <c r="A1591" s="29"/>
      <c r="B1591" s="30"/>
    </row>
    <row r="1592" spans="1:2">
      <c r="A1592" s="29"/>
      <c r="B1592" s="30"/>
    </row>
    <row r="1593" spans="1:2">
      <c r="A1593" s="29"/>
      <c r="B1593" s="30"/>
    </row>
    <row r="1594" spans="1:2">
      <c r="A1594" s="29"/>
      <c r="B1594" s="30"/>
    </row>
    <row r="1595" spans="1:2">
      <c r="A1595" s="29"/>
      <c r="B1595" s="30"/>
    </row>
    <row r="1596" spans="1:2">
      <c r="A1596" s="29"/>
      <c r="B1596" s="30"/>
    </row>
    <row r="1597" spans="1:2">
      <c r="A1597" s="29"/>
      <c r="B1597" s="30"/>
    </row>
    <row r="1598" spans="1:2">
      <c r="A1598" s="29"/>
      <c r="B1598" s="30"/>
    </row>
    <row r="1599" spans="1:2">
      <c r="A1599" s="29"/>
      <c r="B1599" s="30"/>
    </row>
    <row r="1600" spans="1:2">
      <c r="A1600" s="29"/>
      <c r="B1600" s="30"/>
    </row>
    <row r="1601" spans="1:2">
      <c r="A1601" s="29"/>
      <c r="B1601" s="30"/>
    </row>
    <row r="1602" spans="1:2">
      <c r="A1602" s="29"/>
      <c r="B1602" s="30"/>
    </row>
    <row r="1603" spans="1:2">
      <c r="A1603" s="29"/>
      <c r="B1603" s="30"/>
    </row>
    <row r="1604" spans="1:2">
      <c r="A1604" s="29"/>
      <c r="B1604" s="30"/>
    </row>
    <row r="1605" spans="1:2">
      <c r="A1605" s="29"/>
      <c r="B1605" s="30"/>
    </row>
    <row r="1606" spans="1:2">
      <c r="A1606" s="29"/>
      <c r="B1606" s="30"/>
    </row>
    <row r="1607" spans="1:2">
      <c r="A1607" s="29"/>
      <c r="B1607" s="30"/>
    </row>
    <row r="1608" spans="1:2">
      <c r="A1608" s="29"/>
      <c r="B1608" s="30"/>
    </row>
    <row r="1609" spans="1:2">
      <c r="A1609" s="29"/>
      <c r="B1609" s="30"/>
    </row>
    <row r="1610" spans="1:2">
      <c r="A1610" s="29"/>
      <c r="B1610" s="30"/>
    </row>
    <row r="1611" spans="1:2">
      <c r="A1611" s="29"/>
      <c r="B1611" s="30"/>
    </row>
    <row r="1612" spans="1:2">
      <c r="A1612" s="29"/>
      <c r="B1612" s="30"/>
    </row>
    <row r="1613" spans="1:2">
      <c r="A1613" s="29"/>
      <c r="B1613" s="30"/>
    </row>
    <row r="1614" spans="1:2">
      <c r="A1614" s="29"/>
      <c r="B1614" s="30"/>
    </row>
    <row r="1615" spans="1:2">
      <c r="A1615" s="29"/>
      <c r="B1615" s="30"/>
    </row>
    <row r="1616" spans="1:2">
      <c r="A1616" s="29"/>
      <c r="B1616" s="30"/>
    </row>
    <row r="1617" spans="1:2">
      <c r="A1617" s="29"/>
      <c r="B1617" s="30"/>
    </row>
    <row r="1618" spans="1:2">
      <c r="A1618" s="29"/>
      <c r="B1618" s="30"/>
    </row>
    <row r="1619" spans="1:2">
      <c r="A1619" s="29"/>
      <c r="B1619" s="30"/>
    </row>
    <row r="1620" spans="1:2">
      <c r="A1620" s="29"/>
      <c r="B1620" s="30"/>
    </row>
    <row r="1621" spans="1:2">
      <c r="A1621" s="29"/>
      <c r="B1621" s="30"/>
    </row>
    <row r="1622" spans="1:2">
      <c r="A1622" s="29"/>
      <c r="B1622" s="30"/>
    </row>
    <row r="1623" spans="1:2">
      <c r="A1623" s="29"/>
      <c r="B1623" s="30"/>
    </row>
    <row r="1624" spans="1:2">
      <c r="A1624" s="29"/>
      <c r="B1624" s="30"/>
    </row>
    <row r="1625" spans="1:2">
      <c r="A1625" s="29"/>
      <c r="B1625" s="30"/>
    </row>
    <row r="1626" spans="1:2">
      <c r="A1626" s="29"/>
      <c r="B1626" s="30"/>
    </row>
    <row r="1627" spans="1:2">
      <c r="A1627" s="29"/>
      <c r="B1627" s="30"/>
    </row>
    <row r="1628" spans="1:2">
      <c r="A1628" s="29"/>
      <c r="B1628" s="30"/>
    </row>
    <row r="1629" spans="1:2">
      <c r="A1629" s="29"/>
      <c r="B1629" s="30"/>
    </row>
    <row r="1630" spans="1:2">
      <c r="A1630" s="29"/>
      <c r="B1630" s="30"/>
    </row>
    <row r="1631" spans="1:2">
      <c r="A1631" s="29"/>
      <c r="B1631" s="30"/>
    </row>
    <row r="1632" spans="1:2">
      <c r="A1632" s="29"/>
      <c r="B1632" s="30"/>
    </row>
    <row r="1633" spans="1:2">
      <c r="A1633" s="29"/>
      <c r="B1633" s="30"/>
    </row>
    <row r="1634" spans="1:2">
      <c r="A1634" s="29"/>
      <c r="B1634" s="30"/>
    </row>
    <row r="1635" spans="1:2">
      <c r="A1635" s="29"/>
      <c r="B1635" s="30"/>
    </row>
    <row r="1636" spans="1:2">
      <c r="A1636" s="29"/>
      <c r="B1636" s="30"/>
    </row>
    <row r="1637" spans="1:2">
      <c r="A1637" s="29"/>
      <c r="B1637" s="30"/>
    </row>
    <row r="1638" spans="1:2">
      <c r="A1638" s="29"/>
      <c r="B1638" s="30"/>
    </row>
    <row r="1639" spans="1:2">
      <c r="A1639" s="29"/>
      <c r="B1639" s="30"/>
    </row>
    <row r="1640" spans="1:2">
      <c r="A1640" s="29"/>
      <c r="B1640" s="30"/>
    </row>
    <row r="1641" spans="1:2">
      <c r="A1641" s="29"/>
      <c r="B1641" s="30"/>
    </row>
    <row r="1642" spans="1:2">
      <c r="A1642" s="29"/>
      <c r="B1642" s="30"/>
    </row>
    <row r="1643" spans="1:2">
      <c r="A1643" s="29"/>
      <c r="B1643" s="30"/>
    </row>
    <row r="1644" spans="1:2">
      <c r="A1644" s="29"/>
      <c r="B1644" s="30"/>
    </row>
    <row r="1645" spans="1:2">
      <c r="A1645" s="29"/>
      <c r="B1645" s="30"/>
    </row>
    <row r="1646" spans="1:2">
      <c r="A1646" s="29"/>
      <c r="B1646" s="30"/>
    </row>
    <row r="1647" spans="1:2">
      <c r="A1647" s="29"/>
      <c r="B1647" s="30"/>
    </row>
    <row r="1648" spans="1:2">
      <c r="A1648" s="29"/>
      <c r="B1648" s="30"/>
    </row>
    <row r="1649" spans="1:2">
      <c r="A1649" s="29"/>
      <c r="B1649" s="30"/>
    </row>
    <row r="1650" spans="1:2">
      <c r="A1650" s="29"/>
      <c r="B1650" s="30"/>
    </row>
    <row r="1651" spans="1:2">
      <c r="A1651" s="29"/>
      <c r="B1651" s="30"/>
    </row>
    <row r="1652" spans="1:2">
      <c r="A1652" s="29"/>
      <c r="B1652" s="30"/>
    </row>
    <row r="1653" spans="1:2">
      <c r="A1653" s="29"/>
      <c r="B1653" s="30"/>
    </row>
    <row r="1654" spans="1:2">
      <c r="A1654" s="29"/>
      <c r="B1654" s="30"/>
    </row>
    <row r="1655" spans="1:2">
      <c r="A1655" s="29"/>
      <c r="B1655" s="30"/>
    </row>
    <row r="1656" spans="1:2">
      <c r="A1656" s="29"/>
      <c r="B1656" s="30"/>
    </row>
    <row r="1657" spans="1:2">
      <c r="A1657" s="29"/>
      <c r="B1657" s="30"/>
    </row>
    <row r="1658" spans="1:2">
      <c r="A1658" s="29"/>
      <c r="B1658" s="30"/>
    </row>
    <row r="1659" spans="1:2">
      <c r="A1659" s="29"/>
      <c r="B1659" s="30"/>
    </row>
    <row r="1660" spans="1:2">
      <c r="A1660" s="29"/>
      <c r="B1660" s="30"/>
    </row>
    <row r="1661" spans="1:2">
      <c r="A1661" s="29"/>
      <c r="B1661" s="30"/>
    </row>
    <row r="1662" spans="1:2">
      <c r="A1662" s="29"/>
      <c r="B1662" s="30"/>
    </row>
    <row r="1663" spans="1:2">
      <c r="A1663" s="29"/>
      <c r="B1663" s="30"/>
    </row>
    <row r="1664" spans="1:2">
      <c r="A1664" s="29"/>
      <c r="B1664" s="30"/>
    </row>
    <row r="1665" spans="1:2">
      <c r="A1665" s="29"/>
      <c r="B1665" s="30"/>
    </row>
    <row r="1666" spans="1:2">
      <c r="A1666" s="29"/>
      <c r="B1666" s="30"/>
    </row>
    <row r="1667" spans="1:2">
      <c r="A1667" s="29"/>
      <c r="B1667" s="30"/>
    </row>
    <row r="1668" spans="1:2">
      <c r="A1668" s="29"/>
      <c r="B1668" s="30"/>
    </row>
    <row r="1669" spans="1:2">
      <c r="A1669" s="29"/>
      <c r="B1669" s="30"/>
    </row>
    <row r="1670" spans="1:2">
      <c r="A1670" s="29"/>
      <c r="B1670" s="30"/>
    </row>
    <row r="1671" spans="1:2">
      <c r="A1671" s="29"/>
      <c r="B1671" s="30"/>
    </row>
    <row r="1672" spans="1:2">
      <c r="A1672" s="29"/>
      <c r="B1672" s="30"/>
    </row>
    <row r="1673" spans="1:2">
      <c r="A1673" s="29"/>
      <c r="B1673" s="30"/>
    </row>
    <row r="1674" spans="1:2">
      <c r="A1674" s="29"/>
      <c r="B1674" s="30"/>
    </row>
    <row r="1675" spans="1:2">
      <c r="A1675" s="29"/>
      <c r="B1675" s="30"/>
    </row>
    <row r="1676" spans="1:2">
      <c r="A1676" s="29"/>
      <c r="B1676" s="30"/>
    </row>
    <row r="1677" spans="1:2">
      <c r="A1677" s="29"/>
      <c r="B1677" s="30"/>
    </row>
    <row r="1678" spans="1:2">
      <c r="A1678" s="29"/>
      <c r="B1678" s="30"/>
    </row>
    <row r="1679" spans="1:2">
      <c r="A1679" s="29"/>
      <c r="B1679" s="30"/>
    </row>
    <row r="1680" spans="1:2">
      <c r="A1680" s="29"/>
      <c r="B1680" s="30"/>
    </row>
    <row r="1681" spans="1:2">
      <c r="A1681" s="29"/>
      <c r="B1681" s="30"/>
    </row>
    <row r="1682" spans="1:2">
      <c r="A1682" s="29"/>
      <c r="B1682" s="30"/>
    </row>
    <row r="1683" spans="1:2">
      <c r="A1683" s="29"/>
      <c r="B1683" s="30"/>
    </row>
    <row r="1684" spans="1:2">
      <c r="A1684" s="29"/>
      <c r="B1684" s="30"/>
    </row>
    <row r="1685" spans="1:2">
      <c r="A1685" s="29"/>
      <c r="B1685" s="30"/>
    </row>
    <row r="1686" spans="1:2">
      <c r="A1686" s="29"/>
      <c r="B1686" s="30"/>
    </row>
    <row r="1687" spans="1:2">
      <c r="A1687" s="29"/>
      <c r="B1687" s="30"/>
    </row>
    <row r="1688" spans="1:2">
      <c r="A1688" s="29"/>
      <c r="B1688" s="30"/>
    </row>
    <row r="1689" spans="1:2">
      <c r="A1689" s="29"/>
      <c r="B1689" s="30"/>
    </row>
    <row r="1690" spans="1:2">
      <c r="A1690" s="29"/>
      <c r="B1690" s="30"/>
    </row>
    <row r="1691" spans="1:2">
      <c r="A1691" s="29"/>
      <c r="B1691" s="30"/>
    </row>
    <row r="1692" spans="1:2">
      <c r="A1692" s="29"/>
      <c r="B1692" s="30"/>
    </row>
    <row r="1693" spans="1:2">
      <c r="A1693" s="29"/>
      <c r="B1693" s="30"/>
    </row>
    <row r="1694" spans="1:2">
      <c r="A1694" s="29"/>
      <c r="B1694" s="30"/>
    </row>
    <row r="1695" spans="1:2">
      <c r="A1695" s="29"/>
      <c r="B1695" s="30"/>
    </row>
    <row r="1696" spans="1:2">
      <c r="A1696" s="29"/>
      <c r="B1696" s="30"/>
    </row>
    <row r="1697" spans="1:2">
      <c r="A1697" s="29"/>
      <c r="B1697" s="30"/>
    </row>
    <row r="1698" spans="1:2">
      <c r="A1698" s="29"/>
      <c r="B1698" s="30"/>
    </row>
    <row r="1699" spans="1:2">
      <c r="A1699" s="29"/>
      <c r="B1699" s="30"/>
    </row>
    <row r="1700" spans="1:2">
      <c r="A1700" s="29"/>
      <c r="B1700" s="30"/>
    </row>
    <row r="1701" spans="1:2">
      <c r="A1701" s="29"/>
      <c r="B1701" s="30"/>
    </row>
    <row r="1702" spans="1:2">
      <c r="A1702" s="29"/>
      <c r="B1702" s="30"/>
    </row>
    <row r="1703" spans="1:2">
      <c r="A1703" s="29"/>
      <c r="B1703" s="30"/>
    </row>
    <row r="1704" spans="1:2">
      <c r="A1704" s="29"/>
      <c r="B1704" s="30"/>
    </row>
    <row r="1705" spans="1:2">
      <c r="A1705" s="29"/>
      <c r="B1705" s="30"/>
    </row>
    <row r="1706" spans="1:2">
      <c r="A1706" s="29"/>
      <c r="B1706" s="30"/>
    </row>
    <row r="1707" spans="1:2">
      <c r="A1707" s="29"/>
      <c r="B1707" s="30"/>
    </row>
    <row r="1708" spans="1:2">
      <c r="A1708" s="29"/>
      <c r="B1708" s="30"/>
    </row>
    <row r="1709" spans="1:2">
      <c r="A1709" s="29"/>
      <c r="B1709" s="30"/>
    </row>
    <row r="1710" spans="1:2">
      <c r="A1710" s="29"/>
      <c r="B1710" s="30"/>
    </row>
    <row r="1711" spans="1:2">
      <c r="A1711" s="29"/>
      <c r="B1711" s="30"/>
    </row>
    <row r="1712" spans="1:2">
      <c r="A1712" s="29"/>
      <c r="B1712" s="30"/>
    </row>
    <row r="1713" spans="1:2">
      <c r="A1713" s="29"/>
      <c r="B1713" s="30"/>
    </row>
    <row r="1714" spans="1:2">
      <c r="A1714" s="29"/>
      <c r="B1714" s="30"/>
    </row>
    <row r="1715" spans="1:2">
      <c r="A1715" s="29"/>
      <c r="B1715" s="30"/>
    </row>
    <row r="1716" spans="1:2">
      <c r="A1716" s="29"/>
      <c r="B1716" s="30"/>
    </row>
    <row r="1717" spans="1:2">
      <c r="A1717" s="29"/>
      <c r="B1717" s="30"/>
    </row>
    <row r="1718" spans="1:2">
      <c r="A1718" s="29"/>
      <c r="B1718" s="30"/>
    </row>
    <row r="1719" spans="1:2">
      <c r="A1719" s="29"/>
      <c r="B1719" s="30"/>
    </row>
    <row r="1720" spans="1:2">
      <c r="A1720" s="29"/>
      <c r="B1720" s="30"/>
    </row>
    <row r="1721" spans="1:2">
      <c r="A1721" s="29"/>
      <c r="B1721" s="30"/>
    </row>
    <row r="1722" spans="1:2">
      <c r="A1722" s="29"/>
      <c r="B1722" s="30"/>
    </row>
    <row r="1723" spans="1:2">
      <c r="A1723" s="29"/>
      <c r="B1723" s="30"/>
    </row>
    <row r="1724" spans="1:2">
      <c r="A1724" s="29"/>
      <c r="B1724" s="30"/>
    </row>
    <row r="1725" spans="1:2">
      <c r="A1725" s="29"/>
      <c r="B1725" s="30"/>
    </row>
    <row r="1726" spans="1:2">
      <c r="A1726" s="29"/>
      <c r="B1726" s="30"/>
    </row>
    <row r="1727" spans="1:2">
      <c r="A1727" s="29"/>
      <c r="B1727" s="30"/>
    </row>
    <row r="1728" spans="1:2">
      <c r="A1728" s="29"/>
      <c r="B1728" s="30"/>
    </row>
    <row r="1729" spans="1:2">
      <c r="A1729" s="29"/>
      <c r="B1729" s="30"/>
    </row>
    <row r="1730" spans="1:2">
      <c r="A1730" s="29"/>
      <c r="B1730" s="30"/>
    </row>
    <row r="1731" spans="1:2">
      <c r="A1731" s="29"/>
      <c r="B1731" s="30"/>
    </row>
    <row r="1732" spans="1:2">
      <c r="A1732" s="29"/>
      <c r="B1732" s="30"/>
    </row>
    <row r="1733" spans="1:2">
      <c r="A1733" s="29"/>
      <c r="B1733" s="30"/>
    </row>
    <row r="1734" spans="1:2">
      <c r="A1734" s="29"/>
      <c r="B1734" s="30"/>
    </row>
    <row r="1735" spans="1:2">
      <c r="A1735" s="29"/>
      <c r="B1735" s="30"/>
    </row>
    <row r="1736" spans="1:2">
      <c r="A1736" s="29"/>
      <c r="B1736" s="30"/>
    </row>
    <row r="1737" spans="1:2">
      <c r="A1737" s="29"/>
      <c r="B1737" s="30"/>
    </row>
    <row r="1738" spans="1:2">
      <c r="A1738" s="29"/>
      <c r="B1738" s="30"/>
    </row>
    <row r="1739" spans="1:2">
      <c r="A1739" s="29"/>
      <c r="B1739" s="30"/>
    </row>
    <row r="1740" spans="1:2">
      <c r="A1740" s="29"/>
      <c r="B1740" s="30"/>
    </row>
    <row r="1741" spans="1:2">
      <c r="A1741" s="29"/>
      <c r="B1741" s="30"/>
    </row>
    <row r="1742" spans="1:2">
      <c r="A1742" s="29"/>
      <c r="B1742" s="30"/>
    </row>
    <row r="1743" spans="1:2">
      <c r="A1743" s="29"/>
      <c r="B1743" s="30"/>
    </row>
    <row r="1744" spans="1:2">
      <c r="A1744" s="29"/>
      <c r="B1744" s="30"/>
    </row>
    <row r="1745" spans="1:2">
      <c r="A1745" s="29"/>
      <c r="B1745" s="30"/>
    </row>
    <row r="1746" spans="1:2">
      <c r="A1746" s="29"/>
      <c r="B1746" s="30"/>
    </row>
    <row r="1747" spans="1:2">
      <c r="A1747" s="29"/>
      <c r="B1747" s="30"/>
    </row>
    <row r="1748" spans="1:2">
      <c r="A1748" s="29"/>
      <c r="B1748" s="30"/>
    </row>
    <row r="1749" spans="1:2">
      <c r="A1749" s="29"/>
      <c r="B1749" s="30"/>
    </row>
    <row r="1750" spans="1:2">
      <c r="A1750" s="29"/>
      <c r="B1750" s="30"/>
    </row>
    <row r="1751" spans="1:2">
      <c r="A1751" s="29"/>
      <c r="B1751" s="30"/>
    </row>
    <row r="1752" spans="1:2">
      <c r="A1752" s="29"/>
      <c r="B1752" s="30"/>
    </row>
    <row r="1753" spans="1:2">
      <c r="A1753" s="29"/>
      <c r="B1753" s="30"/>
    </row>
    <row r="1754" spans="1:2">
      <c r="A1754" s="29"/>
      <c r="B1754" s="30"/>
    </row>
    <row r="1755" spans="1:2">
      <c r="A1755" s="29"/>
      <c r="B1755" s="30"/>
    </row>
    <row r="1756" spans="1:2">
      <c r="A1756" s="29"/>
      <c r="B1756" s="30"/>
    </row>
    <row r="1757" spans="1:2">
      <c r="A1757" s="29"/>
      <c r="B1757" s="30"/>
    </row>
    <row r="1758" spans="1:2">
      <c r="A1758" s="29"/>
      <c r="B1758" s="30"/>
    </row>
    <row r="1759" spans="1:2">
      <c r="A1759" s="29"/>
      <c r="B1759" s="30"/>
    </row>
    <row r="1760" spans="1:2">
      <c r="A1760" s="29"/>
      <c r="B1760" s="30"/>
    </row>
    <row r="1761" spans="1:2">
      <c r="A1761" s="29"/>
      <c r="B1761" s="30"/>
    </row>
    <row r="1762" spans="1:2">
      <c r="A1762" s="29"/>
      <c r="B1762" s="30"/>
    </row>
    <row r="1763" spans="1:2">
      <c r="A1763" s="29"/>
      <c r="B1763" s="30"/>
    </row>
    <row r="1764" spans="1:2">
      <c r="A1764" s="29"/>
      <c r="B1764" s="30"/>
    </row>
    <row r="1765" spans="1:2">
      <c r="A1765" s="29"/>
      <c r="B1765" s="30"/>
    </row>
    <row r="1766" spans="1:2">
      <c r="A1766" s="29"/>
      <c r="B1766" s="30"/>
    </row>
    <row r="1767" spans="1:2">
      <c r="A1767" s="29"/>
      <c r="B1767" s="30"/>
    </row>
    <row r="1768" spans="1:2">
      <c r="A1768" s="29"/>
      <c r="B1768" s="30"/>
    </row>
    <row r="1769" spans="1:2">
      <c r="A1769" s="29"/>
      <c r="B1769" s="30"/>
    </row>
    <row r="1770" spans="1:2">
      <c r="A1770" s="29"/>
      <c r="B1770" s="30"/>
    </row>
    <row r="1771" spans="1:2">
      <c r="A1771" s="29"/>
      <c r="B1771" s="30"/>
    </row>
    <row r="1772" spans="1:2">
      <c r="A1772" s="29"/>
      <c r="B1772" s="30"/>
    </row>
    <row r="1773" spans="1:2">
      <c r="A1773" s="29"/>
      <c r="B1773" s="30"/>
    </row>
    <row r="1774" spans="1:2">
      <c r="A1774" s="29"/>
      <c r="B1774" s="30"/>
    </row>
    <row r="1775" spans="1:2">
      <c r="A1775" s="29"/>
      <c r="B1775" s="30"/>
    </row>
    <row r="1776" spans="1:2">
      <c r="A1776" s="29"/>
      <c r="B1776" s="30"/>
    </row>
    <row r="1777" spans="1:2">
      <c r="A1777" s="29"/>
      <c r="B1777" s="30"/>
    </row>
    <row r="1778" spans="1:2">
      <c r="A1778" s="29"/>
      <c r="B1778" s="30"/>
    </row>
    <row r="1779" spans="1:2">
      <c r="A1779" s="29"/>
      <c r="B1779" s="30"/>
    </row>
    <row r="1780" spans="1:2">
      <c r="A1780" s="29"/>
      <c r="B1780" s="30"/>
    </row>
    <row r="1781" spans="1:2">
      <c r="A1781" s="29"/>
      <c r="B1781" s="30"/>
    </row>
    <row r="1782" spans="1:2">
      <c r="A1782" s="29"/>
      <c r="B1782" s="30"/>
    </row>
    <row r="1783" spans="1:2">
      <c r="A1783" s="29"/>
      <c r="B1783" s="30"/>
    </row>
    <row r="1784" spans="1:2">
      <c r="A1784" s="29"/>
      <c r="B1784" s="30"/>
    </row>
    <row r="1785" spans="1:2">
      <c r="A1785" s="29"/>
      <c r="B1785" s="30"/>
    </row>
    <row r="1786" spans="1:2">
      <c r="A1786" s="29"/>
      <c r="B1786" s="30"/>
    </row>
    <row r="1787" spans="1:2">
      <c r="A1787" s="29"/>
      <c r="B1787" s="30"/>
    </row>
    <row r="1788" spans="1:2">
      <c r="A1788" s="29"/>
      <c r="B1788" s="30"/>
    </row>
    <row r="1789" spans="1:2">
      <c r="A1789" s="29"/>
      <c r="B1789" s="30"/>
    </row>
    <row r="1790" spans="1:2">
      <c r="A1790" s="29"/>
      <c r="B1790" s="30"/>
    </row>
    <row r="1791" spans="1:2">
      <c r="A1791" s="29"/>
      <c r="B1791" s="30"/>
    </row>
    <row r="1792" spans="1:2">
      <c r="A1792" s="29"/>
      <c r="B1792" s="30"/>
    </row>
    <row r="1793" spans="1:2">
      <c r="A1793" s="29"/>
      <c r="B1793" s="30"/>
    </row>
    <row r="1794" spans="1:2">
      <c r="A1794" s="29"/>
      <c r="B1794" s="30"/>
    </row>
    <row r="1795" spans="1:2">
      <c r="A1795" s="29"/>
      <c r="B1795" s="30"/>
    </row>
    <row r="1796" spans="1:2">
      <c r="A1796" s="29"/>
      <c r="B1796" s="30"/>
    </row>
    <row r="1797" spans="1:2">
      <c r="A1797" s="29"/>
      <c r="B1797" s="30"/>
    </row>
    <row r="1798" spans="1:2">
      <c r="A1798" s="29"/>
      <c r="B1798" s="30"/>
    </row>
    <row r="1799" spans="1:2">
      <c r="A1799" s="29"/>
      <c r="B1799" s="30"/>
    </row>
    <row r="1800" spans="1:2">
      <c r="A1800" s="29"/>
      <c r="B1800" s="30"/>
    </row>
    <row r="1801" spans="1:2">
      <c r="A1801" s="29"/>
      <c r="B1801" s="30"/>
    </row>
    <row r="1802" spans="1:2">
      <c r="A1802" s="29"/>
      <c r="B1802" s="30"/>
    </row>
    <row r="1803" spans="1:2">
      <c r="A1803" s="29"/>
      <c r="B1803" s="30"/>
    </row>
    <row r="1804" spans="1:2">
      <c r="A1804" s="29"/>
      <c r="B1804" s="30"/>
    </row>
    <row r="1805" spans="1:2">
      <c r="A1805" s="29"/>
      <c r="B1805" s="30"/>
    </row>
    <row r="1806" spans="1:2">
      <c r="A1806" s="29"/>
      <c r="B1806" s="30"/>
    </row>
    <row r="1807" spans="1:2">
      <c r="A1807" s="29"/>
      <c r="B1807" s="30"/>
    </row>
    <row r="1808" spans="1:2">
      <c r="A1808" s="29"/>
      <c r="B1808" s="30"/>
    </row>
    <row r="1809" spans="1:2">
      <c r="A1809" s="29"/>
      <c r="B1809" s="30"/>
    </row>
    <row r="1810" spans="1:2">
      <c r="A1810" s="29"/>
      <c r="B1810" s="30"/>
    </row>
    <row r="1811" spans="1:2">
      <c r="A1811" s="29"/>
      <c r="B1811" s="30"/>
    </row>
    <row r="1812" spans="1:2">
      <c r="A1812" s="29"/>
      <c r="B1812" s="30"/>
    </row>
    <row r="1813" spans="1:2">
      <c r="A1813" s="29"/>
      <c r="B1813" s="30"/>
    </row>
    <row r="1814" spans="1:2">
      <c r="A1814" s="29"/>
      <c r="B1814" s="30"/>
    </row>
    <row r="1815" spans="1:2">
      <c r="A1815" s="29"/>
      <c r="B1815" s="30"/>
    </row>
    <row r="1816" spans="1:2">
      <c r="A1816" s="29"/>
      <c r="B1816" s="30"/>
    </row>
    <row r="1817" spans="1:2">
      <c r="A1817" s="29"/>
      <c r="B1817" s="30"/>
    </row>
    <row r="1818" spans="1:2">
      <c r="A1818" s="29"/>
      <c r="B1818" s="30"/>
    </row>
    <row r="1819" spans="1:2">
      <c r="A1819" s="29"/>
      <c r="B1819" s="30"/>
    </row>
    <row r="1820" spans="1:2">
      <c r="A1820" s="29"/>
      <c r="B1820" s="30"/>
    </row>
    <row r="1821" spans="1:2">
      <c r="A1821" s="29"/>
      <c r="B1821" s="30"/>
    </row>
    <row r="1822" spans="1:2">
      <c r="A1822" s="29"/>
      <c r="B1822" s="30"/>
    </row>
    <row r="1823" spans="1:2">
      <c r="A1823" s="29"/>
      <c r="B1823" s="30"/>
    </row>
    <row r="1824" spans="1:2">
      <c r="A1824" s="29"/>
      <c r="B1824" s="30"/>
    </row>
    <row r="1825" spans="1:2">
      <c r="A1825" s="29"/>
      <c r="B1825" s="30"/>
    </row>
    <row r="1826" spans="1:2">
      <c r="A1826" s="29"/>
      <c r="B1826" s="30"/>
    </row>
    <row r="1827" spans="1:2">
      <c r="A1827" s="29"/>
      <c r="B1827" s="30"/>
    </row>
    <row r="1828" spans="1:2">
      <c r="A1828" s="29"/>
      <c r="B1828" s="30"/>
    </row>
    <row r="1829" spans="1:2">
      <c r="A1829" s="29"/>
      <c r="B1829" s="30"/>
    </row>
    <row r="1830" spans="1:2">
      <c r="A1830" s="29"/>
      <c r="B1830" s="30"/>
    </row>
    <row r="1831" spans="1:2">
      <c r="A1831" s="29"/>
      <c r="B1831" s="30"/>
    </row>
    <row r="1832" spans="1:2">
      <c r="A1832" s="29"/>
      <c r="B1832" s="30"/>
    </row>
    <row r="1833" spans="1:2">
      <c r="A1833" s="29"/>
      <c r="B1833" s="30"/>
    </row>
    <row r="1834" spans="1:2">
      <c r="A1834" s="29"/>
      <c r="B1834" s="30"/>
    </row>
    <row r="1835" spans="1:2">
      <c r="A1835" s="29"/>
      <c r="B1835" s="30"/>
    </row>
    <row r="1836" spans="1:2">
      <c r="A1836" s="29"/>
      <c r="B1836" s="30"/>
    </row>
    <row r="1837" spans="1:2">
      <c r="A1837" s="29"/>
      <c r="B1837" s="30"/>
    </row>
    <row r="1838" spans="1:2">
      <c r="A1838" s="29"/>
      <c r="B1838" s="30"/>
    </row>
    <row r="1839" spans="1:2">
      <c r="A1839" s="29"/>
      <c r="B1839" s="30"/>
    </row>
    <row r="1840" spans="1:2">
      <c r="A1840" s="29"/>
      <c r="B1840" s="30"/>
    </row>
    <row r="1841" spans="1:2">
      <c r="A1841" s="29"/>
      <c r="B1841" s="30"/>
    </row>
    <row r="1842" spans="1:2">
      <c r="A1842" s="29"/>
      <c r="B1842" s="30"/>
    </row>
    <row r="1843" spans="1:2">
      <c r="A1843" s="29"/>
      <c r="B1843" s="30"/>
    </row>
    <row r="1844" spans="1:2">
      <c r="A1844" s="29"/>
      <c r="B1844" s="30"/>
    </row>
    <row r="1845" spans="1:2">
      <c r="A1845" s="29"/>
      <c r="B1845" s="30"/>
    </row>
    <row r="1846" spans="1:2">
      <c r="A1846" s="29"/>
      <c r="B1846" s="30"/>
    </row>
    <row r="1847" spans="1:2">
      <c r="A1847" s="29"/>
      <c r="B1847" s="30"/>
    </row>
    <row r="1848" spans="1:2">
      <c r="A1848" s="29"/>
      <c r="B1848" s="30"/>
    </row>
    <row r="1849" spans="1:2">
      <c r="A1849" s="29"/>
      <c r="B1849" s="30"/>
    </row>
    <row r="1850" spans="1:2">
      <c r="A1850" s="29"/>
      <c r="B1850" s="30"/>
    </row>
    <row r="1851" spans="1:2">
      <c r="A1851" s="29"/>
      <c r="B1851" s="30"/>
    </row>
    <row r="1852" spans="1:2">
      <c r="A1852" s="29"/>
      <c r="B1852" s="30"/>
    </row>
    <row r="1853" spans="1:2">
      <c r="A1853" s="29"/>
      <c r="B1853" s="30"/>
    </row>
    <row r="1854" spans="1:2">
      <c r="A1854" s="29"/>
      <c r="B1854" s="30"/>
    </row>
    <row r="1855" spans="1:2">
      <c r="A1855" s="29"/>
      <c r="B1855" s="30"/>
    </row>
    <row r="1856" spans="1:2">
      <c r="A1856" s="29"/>
      <c r="B1856" s="30"/>
    </row>
    <row r="1857" spans="1:2">
      <c r="A1857" s="29"/>
      <c r="B1857" s="30"/>
    </row>
    <row r="1858" spans="1:2">
      <c r="A1858" s="29"/>
      <c r="B1858" s="30"/>
    </row>
    <row r="1859" spans="1:2">
      <c r="A1859" s="29"/>
      <c r="B1859" s="30"/>
    </row>
    <row r="1860" spans="1:2">
      <c r="A1860" s="29"/>
      <c r="B1860" s="30"/>
    </row>
    <row r="1861" spans="1:2">
      <c r="A1861" s="29"/>
      <c r="B1861" s="30"/>
    </row>
    <row r="1862" spans="1:2">
      <c r="A1862" s="29"/>
      <c r="B1862" s="30"/>
    </row>
    <row r="1863" spans="1:2">
      <c r="A1863" s="29"/>
      <c r="B1863" s="30"/>
    </row>
    <row r="1864" spans="1:2">
      <c r="A1864" s="29"/>
      <c r="B1864" s="30"/>
    </row>
    <row r="1865" spans="1:2">
      <c r="A1865" s="29"/>
      <c r="B1865" s="30"/>
    </row>
    <row r="1866" spans="1:2">
      <c r="A1866" s="29"/>
      <c r="B1866" s="30"/>
    </row>
    <row r="1867" spans="1:2">
      <c r="A1867" s="29"/>
      <c r="B1867" s="30"/>
    </row>
    <row r="1868" spans="1:2">
      <c r="A1868" s="29"/>
      <c r="B1868" s="30"/>
    </row>
    <row r="1869" spans="1:2">
      <c r="A1869" s="29"/>
      <c r="B1869" s="30"/>
    </row>
    <row r="1870" spans="1:2">
      <c r="A1870" s="29"/>
      <c r="B1870" s="30"/>
    </row>
    <row r="1871" spans="1:2">
      <c r="A1871" s="29"/>
      <c r="B1871" s="30"/>
    </row>
    <row r="1872" spans="1:2">
      <c r="A1872" s="29"/>
      <c r="B1872" s="30"/>
    </row>
    <row r="1873" spans="1:2">
      <c r="A1873" s="29"/>
      <c r="B1873" s="30"/>
    </row>
    <row r="1874" spans="1:2">
      <c r="A1874" s="29"/>
      <c r="B1874" s="30"/>
    </row>
    <row r="1875" spans="1:2">
      <c r="A1875" s="29"/>
      <c r="B1875" s="30"/>
    </row>
    <row r="1876" spans="1:2">
      <c r="A1876" s="29"/>
      <c r="B1876" s="30"/>
    </row>
    <row r="1877" spans="1:2">
      <c r="A1877" s="29"/>
      <c r="B1877" s="30"/>
    </row>
    <row r="1878" spans="1:2">
      <c r="A1878" s="29"/>
      <c r="B1878" s="30"/>
    </row>
    <row r="1879" spans="1:2">
      <c r="A1879" s="29"/>
      <c r="B1879" s="30"/>
    </row>
    <row r="1880" spans="1:2">
      <c r="A1880" s="29"/>
      <c r="B1880" s="30"/>
    </row>
    <row r="1881" spans="1:2">
      <c r="A1881" s="29"/>
      <c r="B1881" s="30"/>
    </row>
    <row r="1882" spans="1:2">
      <c r="A1882" s="29"/>
      <c r="B1882" s="30"/>
    </row>
    <row r="1883" spans="1:2">
      <c r="A1883" s="29"/>
      <c r="B1883" s="30"/>
    </row>
    <row r="1884" spans="1:2">
      <c r="A1884" s="29"/>
      <c r="B1884" s="30"/>
    </row>
    <row r="1885" spans="1:2">
      <c r="A1885" s="29"/>
      <c r="B1885" s="30"/>
    </row>
    <row r="1886" spans="1:2">
      <c r="A1886" s="29"/>
      <c r="B1886" s="30"/>
    </row>
    <row r="1887" spans="1:2">
      <c r="A1887" s="29"/>
      <c r="B1887" s="30"/>
    </row>
    <row r="1888" spans="1:2">
      <c r="A1888" s="29"/>
      <c r="B1888" s="30"/>
    </row>
    <row r="1889" spans="1:2">
      <c r="A1889" s="29"/>
      <c r="B1889" s="30"/>
    </row>
    <row r="1890" spans="1:2">
      <c r="A1890" s="29"/>
      <c r="B1890" s="30"/>
    </row>
    <row r="1891" spans="1:2">
      <c r="A1891" s="29"/>
      <c r="B1891" s="30"/>
    </row>
    <row r="1892" spans="1:2">
      <c r="A1892" s="29"/>
      <c r="B1892" s="30"/>
    </row>
    <row r="1893" spans="1:2">
      <c r="A1893" s="29"/>
      <c r="B1893" s="30"/>
    </row>
    <row r="1894" spans="1:2">
      <c r="A1894" s="29"/>
      <c r="B1894" s="30"/>
    </row>
    <row r="1895" spans="1:2">
      <c r="A1895" s="29"/>
      <c r="B1895" s="30"/>
    </row>
    <row r="1896" spans="1:2">
      <c r="A1896" s="29"/>
      <c r="B1896" s="30"/>
    </row>
    <row r="1897" spans="1:2">
      <c r="A1897" s="29"/>
      <c r="B1897" s="30"/>
    </row>
    <row r="1898" spans="1:2">
      <c r="A1898" s="29"/>
      <c r="B1898" s="30"/>
    </row>
    <row r="1899" spans="1:2">
      <c r="A1899" s="29"/>
      <c r="B1899" s="30"/>
    </row>
    <row r="1900" spans="1:2">
      <c r="A1900" s="29"/>
      <c r="B1900" s="30"/>
    </row>
    <row r="1901" spans="1:2">
      <c r="A1901" s="29"/>
      <c r="B1901" s="30"/>
    </row>
    <row r="1902" spans="1:2">
      <c r="A1902" s="29"/>
      <c r="B1902" s="30"/>
    </row>
    <row r="1903" spans="1:2">
      <c r="A1903" s="29"/>
      <c r="B1903" s="30"/>
    </row>
    <row r="1904" spans="1:2">
      <c r="A1904" s="29"/>
      <c r="B1904" s="30"/>
    </row>
    <row r="1905" spans="1:2">
      <c r="A1905" s="29"/>
      <c r="B1905" s="30"/>
    </row>
    <row r="1906" spans="1:2">
      <c r="A1906" s="29"/>
      <c r="B1906" s="30"/>
    </row>
    <row r="1907" spans="1:2">
      <c r="A1907" s="29"/>
      <c r="B1907" s="30"/>
    </row>
    <row r="1908" spans="1:2">
      <c r="A1908" s="29"/>
      <c r="B1908" s="30"/>
    </row>
    <row r="1909" spans="1:2">
      <c r="A1909" s="29"/>
      <c r="B1909" s="30"/>
    </row>
    <row r="1910" spans="1:2">
      <c r="A1910" s="29"/>
      <c r="B1910" s="30"/>
    </row>
    <row r="1911" spans="1:2">
      <c r="A1911" s="29"/>
      <c r="B1911" s="30"/>
    </row>
    <row r="1912" spans="1:2">
      <c r="A1912" s="29"/>
      <c r="B1912" s="30"/>
    </row>
    <row r="1913" spans="1:2">
      <c r="A1913" s="29"/>
      <c r="B1913" s="30"/>
    </row>
    <row r="1914" spans="1:2">
      <c r="A1914" s="29"/>
      <c r="B1914" s="30"/>
    </row>
    <row r="1915" spans="1:2">
      <c r="A1915" s="29"/>
      <c r="B1915" s="30"/>
    </row>
    <row r="1916" spans="1:2">
      <c r="A1916" s="29"/>
      <c r="B1916" s="30"/>
    </row>
    <row r="1917" spans="1:2">
      <c r="A1917" s="29"/>
      <c r="B1917" s="30"/>
    </row>
    <row r="1918" spans="1:2">
      <c r="A1918" s="29"/>
      <c r="B1918" s="30"/>
    </row>
    <row r="1919" spans="1:2">
      <c r="A1919" s="29"/>
      <c r="B1919" s="30"/>
    </row>
    <row r="1920" spans="1:2">
      <c r="A1920" s="29"/>
      <c r="B1920" s="30"/>
    </row>
    <row r="1921" spans="1:2">
      <c r="A1921" s="29"/>
      <c r="B1921" s="30"/>
    </row>
    <row r="1922" spans="1:2">
      <c r="A1922" s="29"/>
      <c r="B1922" s="30"/>
    </row>
    <row r="1923" spans="1:2">
      <c r="A1923" s="29"/>
      <c r="B1923" s="30"/>
    </row>
    <row r="1924" spans="1:2">
      <c r="A1924" s="29"/>
      <c r="B1924" s="30"/>
    </row>
    <row r="1925" spans="1:2">
      <c r="A1925" s="29"/>
      <c r="B1925" s="30"/>
    </row>
    <row r="1926" spans="1:2">
      <c r="A1926" s="29"/>
      <c r="B1926" s="30"/>
    </row>
    <row r="1927" spans="1:2">
      <c r="A1927" s="29"/>
      <c r="B1927" s="30"/>
    </row>
    <row r="1928" spans="1:2">
      <c r="A1928" s="29"/>
      <c r="B1928" s="30"/>
    </row>
    <row r="1929" spans="1:2">
      <c r="A1929" s="29"/>
      <c r="B1929" s="30"/>
    </row>
    <row r="1930" spans="1:2">
      <c r="A1930" s="29"/>
      <c r="B1930" s="30"/>
    </row>
    <row r="1931" spans="1:2">
      <c r="A1931" s="29"/>
      <c r="B1931" s="30"/>
    </row>
    <row r="1932" spans="1:2">
      <c r="A1932" s="29"/>
      <c r="B1932" s="30"/>
    </row>
    <row r="1933" spans="1:2">
      <c r="A1933" s="29"/>
      <c r="B1933" s="30"/>
    </row>
    <row r="1934" spans="1:2">
      <c r="A1934" s="29"/>
      <c r="B1934" s="30"/>
    </row>
    <row r="1935" spans="1:2">
      <c r="A1935" s="29"/>
      <c r="B1935" s="30"/>
    </row>
    <row r="1936" spans="1:2">
      <c r="A1936" s="29"/>
      <c r="B1936" s="30"/>
    </row>
    <row r="1937" spans="1:2">
      <c r="A1937" s="29"/>
      <c r="B1937" s="30"/>
    </row>
    <row r="1938" spans="1:2">
      <c r="A1938" s="29"/>
      <c r="B1938" s="30"/>
    </row>
    <row r="1939" spans="1:2">
      <c r="A1939" s="29"/>
      <c r="B1939" s="30"/>
    </row>
    <row r="1940" spans="1:2">
      <c r="A1940" s="29"/>
      <c r="B1940" s="30"/>
    </row>
    <row r="1941" spans="1:2">
      <c r="A1941" s="29"/>
      <c r="B1941" s="30"/>
    </row>
    <row r="1942" spans="1:2">
      <c r="A1942" s="29"/>
      <c r="B1942" s="30"/>
    </row>
    <row r="1943" spans="1:2">
      <c r="A1943" s="29"/>
      <c r="B1943" s="30"/>
    </row>
    <row r="1944" spans="1:2">
      <c r="A1944" s="29"/>
      <c r="B1944" s="30"/>
    </row>
    <row r="1945" spans="1:2">
      <c r="A1945" s="29"/>
      <c r="B1945" s="30"/>
    </row>
    <row r="1946" spans="1:2">
      <c r="A1946" s="29"/>
      <c r="B1946" s="30"/>
    </row>
    <row r="1947" spans="1:2">
      <c r="A1947" s="29"/>
      <c r="B1947" s="30"/>
    </row>
    <row r="1948" spans="1:2">
      <c r="A1948" s="29"/>
      <c r="B1948" s="30"/>
    </row>
    <row r="1949" spans="1:2">
      <c r="A1949" s="29"/>
      <c r="B1949" s="30"/>
    </row>
    <row r="1950" spans="1:2">
      <c r="A1950" s="29"/>
      <c r="B1950" s="30"/>
    </row>
    <row r="1951" spans="1:2">
      <c r="A1951" s="29"/>
      <c r="B1951" s="30"/>
    </row>
    <row r="1952" spans="1:2">
      <c r="A1952" s="29"/>
      <c r="B1952" s="30"/>
    </row>
    <row r="1953" spans="1:2">
      <c r="A1953" s="29"/>
      <c r="B1953" s="30"/>
    </row>
    <row r="1954" spans="1:2">
      <c r="A1954" s="29"/>
      <c r="B1954" s="30"/>
    </row>
    <row r="1955" spans="1:2">
      <c r="A1955" s="29"/>
      <c r="B1955" s="30"/>
    </row>
    <row r="1956" spans="1:2">
      <c r="A1956" s="29"/>
      <c r="B1956" s="30"/>
    </row>
    <row r="1957" spans="1:2">
      <c r="A1957" s="29"/>
      <c r="B1957" s="30"/>
    </row>
    <row r="1958" spans="1:2">
      <c r="A1958" s="29"/>
      <c r="B1958" s="30"/>
    </row>
    <row r="1959" spans="1:2">
      <c r="A1959" s="29"/>
      <c r="B1959" s="30"/>
    </row>
    <row r="1960" spans="1:2">
      <c r="A1960" s="29"/>
      <c r="B1960" s="30"/>
    </row>
    <row r="1961" spans="1:2">
      <c r="A1961" s="29"/>
      <c r="B1961" s="30"/>
    </row>
    <row r="1962" spans="1:2">
      <c r="A1962" s="29"/>
      <c r="B1962" s="30"/>
    </row>
    <row r="1963" spans="1:2">
      <c r="A1963" s="29"/>
      <c r="B1963" s="30"/>
    </row>
    <row r="1964" spans="1:2">
      <c r="A1964" s="29"/>
      <c r="B1964" s="30"/>
    </row>
    <row r="1965" spans="1:2">
      <c r="A1965" s="29"/>
      <c r="B1965" s="30"/>
    </row>
    <row r="1966" spans="1:2">
      <c r="A1966" s="29"/>
      <c r="B1966" s="30"/>
    </row>
    <row r="1967" spans="1:2">
      <c r="A1967" s="29"/>
      <c r="B1967" s="30"/>
    </row>
    <row r="1968" spans="1:2">
      <c r="A1968" s="29"/>
      <c r="B1968" s="30"/>
    </row>
    <row r="1969" spans="1:2">
      <c r="A1969" s="29"/>
      <c r="B1969" s="30"/>
    </row>
    <row r="1970" spans="1:2">
      <c r="A1970" s="29"/>
      <c r="B1970" s="30"/>
    </row>
    <row r="1971" spans="1:2">
      <c r="A1971" s="29"/>
      <c r="B1971" s="30"/>
    </row>
    <row r="1972" spans="1:2">
      <c r="A1972" s="29"/>
      <c r="B1972" s="30"/>
    </row>
    <row r="1973" spans="1:2">
      <c r="A1973" s="29"/>
      <c r="B1973" s="30"/>
    </row>
    <row r="1974" spans="1:2">
      <c r="A1974" s="29"/>
      <c r="B1974" s="30"/>
    </row>
    <row r="1975" spans="1:2">
      <c r="A1975" s="29"/>
      <c r="B1975" s="30"/>
    </row>
    <row r="1976" spans="1:2">
      <c r="A1976" s="29"/>
      <c r="B1976" s="30"/>
    </row>
    <row r="1977" spans="1:2">
      <c r="A1977" s="29"/>
      <c r="B1977" s="30"/>
    </row>
    <row r="1978" spans="1:2">
      <c r="A1978" s="29"/>
      <c r="B1978" s="30"/>
    </row>
    <row r="1979" spans="1:2">
      <c r="A1979" s="29"/>
      <c r="B1979" s="30"/>
    </row>
    <row r="1980" spans="1:2">
      <c r="A1980" s="29"/>
      <c r="B1980" s="30"/>
    </row>
    <row r="1981" spans="1:2">
      <c r="A1981" s="29"/>
      <c r="B1981" s="30"/>
    </row>
    <row r="1982" spans="1:2">
      <c r="A1982" s="29"/>
      <c r="B1982" s="30"/>
    </row>
    <row r="1983" spans="1:2">
      <c r="A1983" s="29"/>
      <c r="B1983" s="30"/>
    </row>
    <row r="1984" spans="1:2">
      <c r="A1984" s="29"/>
      <c r="B1984" s="30"/>
    </row>
    <row r="1985" spans="1:2">
      <c r="A1985" s="29"/>
      <c r="B1985" s="30"/>
    </row>
    <row r="1986" spans="1:2">
      <c r="A1986" s="29"/>
      <c r="B1986" s="30"/>
    </row>
    <row r="1987" spans="1:2">
      <c r="A1987" s="29"/>
      <c r="B1987" s="30"/>
    </row>
    <row r="1988" spans="1:2">
      <c r="A1988" s="29"/>
      <c r="B1988" s="30"/>
    </row>
    <row r="1989" spans="1:2">
      <c r="A1989" s="29"/>
      <c r="B1989" s="30"/>
    </row>
    <row r="1990" spans="1:2">
      <c r="A1990" s="29"/>
      <c r="B1990" s="30"/>
    </row>
    <row r="1991" spans="1:2">
      <c r="A1991" s="29"/>
      <c r="B1991" s="30"/>
    </row>
    <row r="1992" spans="1:2">
      <c r="A1992" s="29"/>
      <c r="B1992" s="30"/>
    </row>
    <row r="1993" spans="1:2">
      <c r="A1993" s="29"/>
      <c r="B1993" s="30"/>
    </row>
    <row r="1994" spans="1:2">
      <c r="A1994" s="29"/>
      <c r="B1994" s="30"/>
    </row>
    <row r="1995" spans="1:2">
      <c r="A1995" s="29"/>
      <c r="B1995" s="30"/>
    </row>
    <row r="1996" spans="1:2">
      <c r="A1996" s="29"/>
      <c r="B1996" s="30"/>
    </row>
    <row r="1997" spans="1:2">
      <c r="A1997" s="29"/>
      <c r="B1997" s="30"/>
    </row>
    <row r="1998" spans="1:2">
      <c r="A1998" s="29"/>
      <c r="B1998" s="30"/>
    </row>
    <row r="1999" spans="1:2">
      <c r="A1999" s="29"/>
      <c r="B1999" s="30"/>
    </row>
    <row r="2000" spans="1:2">
      <c r="A2000" s="29"/>
      <c r="B2000" s="30"/>
    </row>
    <row r="2001" spans="1:2">
      <c r="A2001" s="29"/>
      <c r="B2001" s="30"/>
    </row>
    <row r="2002" spans="1:2">
      <c r="A2002" s="29"/>
      <c r="B2002" s="30"/>
    </row>
    <row r="2003" spans="1:2">
      <c r="A2003" s="29"/>
      <c r="B2003" s="30"/>
    </row>
    <row r="2004" spans="1:2">
      <c r="A2004" s="29"/>
      <c r="B2004" s="30"/>
    </row>
    <row r="2005" spans="1:2">
      <c r="A2005" s="29"/>
      <c r="B2005" s="30"/>
    </row>
    <row r="2006" spans="1:2">
      <c r="A2006" s="29"/>
      <c r="B2006" s="30"/>
    </row>
    <row r="2007" spans="1:2">
      <c r="A2007" s="29"/>
      <c r="B2007" s="30"/>
    </row>
    <row r="2008" spans="1:2">
      <c r="A2008" s="29"/>
      <c r="B2008" s="30"/>
    </row>
    <row r="2009" spans="1:2">
      <c r="A2009" s="29"/>
      <c r="B2009" s="30"/>
    </row>
    <row r="2010" spans="1:2">
      <c r="A2010" s="29"/>
      <c r="B2010" s="30"/>
    </row>
    <row r="2011" spans="1:2">
      <c r="A2011" s="29"/>
      <c r="B2011" s="30"/>
    </row>
    <row r="2012" spans="1:2">
      <c r="A2012" s="29"/>
      <c r="B2012" s="30"/>
    </row>
    <row r="2013" spans="1:2">
      <c r="A2013" s="29"/>
      <c r="B2013" s="30"/>
    </row>
    <row r="2014" spans="1:2">
      <c r="A2014" s="29"/>
      <c r="B2014" s="30"/>
    </row>
    <row r="2015" spans="1:2">
      <c r="A2015" s="29"/>
      <c r="B2015" s="30"/>
    </row>
    <row r="2016" spans="1:2">
      <c r="A2016" s="29"/>
      <c r="B2016" s="30"/>
    </row>
    <row r="2017" spans="1:2">
      <c r="A2017" s="29"/>
      <c r="B2017" s="30"/>
    </row>
    <row r="2018" spans="1:2">
      <c r="A2018" s="29"/>
      <c r="B2018" s="30"/>
    </row>
    <row r="2019" spans="1:2">
      <c r="A2019" s="29"/>
      <c r="B2019" s="30"/>
    </row>
    <row r="2020" spans="1:2">
      <c r="A2020" s="29"/>
      <c r="B2020" s="30"/>
    </row>
    <row r="2021" spans="1:2">
      <c r="A2021" s="29"/>
      <c r="B2021" s="30"/>
    </row>
    <row r="2022" spans="1:2">
      <c r="A2022" s="29"/>
      <c r="B2022" s="30"/>
    </row>
    <row r="2023" spans="1:2">
      <c r="A2023" s="29"/>
      <c r="B2023" s="30"/>
    </row>
    <row r="2024" spans="1:2">
      <c r="A2024" s="29"/>
      <c r="B2024" s="30"/>
    </row>
    <row r="2025" spans="1:2">
      <c r="A2025" s="29"/>
      <c r="B2025" s="30"/>
    </row>
    <row r="2026" spans="1:2">
      <c r="A2026" s="29"/>
      <c r="B2026" s="30"/>
    </row>
    <row r="2027" spans="1:2">
      <c r="A2027" s="29"/>
      <c r="B2027" s="30"/>
    </row>
    <row r="2028" spans="1:2">
      <c r="A2028" s="29"/>
      <c r="B2028" s="30"/>
    </row>
    <row r="2029" spans="1:2">
      <c r="A2029" s="29"/>
      <c r="B2029" s="30"/>
    </row>
    <row r="2030" spans="1:2">
      <c r="A2030" s="29"/>
      <c r="B2030" s="30"/>
    </row>
    <row r="2031" spans="1:2">
      <c r="A2031" s="29"/>
      <c r="B2031" s="30"/>
    </row>
    <row r="2032" spans="1:2">
      <c r="A2032" s="29"/>
      <c r="B2032" s="30"/>
    </row>
    <row r="2033" spans="1:2">
      <c r="A2033" s="29"/>
      <c r="B2033" s="30"/>
    </row>
    <row r="2034" spans="1:2">
      <c r="A2034" s="29"/>
      <c r="B2034" s="30"/>
    </row>
    <row r="2035" spans="1:2">
      <c r="A2035" s="29"/>
      <c r="B2035" s="30"/>
    </row>
    <row r="2036" spans="1:2">
      <c r="A2036" s="29"/>
      <c r="B2036" s="30"/>
    </row>
    <row r="2037" spans="1:2">
      <c r="A2037" s="29"/>
      <c r="B2037" s="30"/>
    </row>
    <row r="2038" spans="1:2">
      <c r="A2038" s="29"/>
      <c r="B2038" s="30"/>
    </row>
    <row r="2039" spans="1:2">
      <c r="A2039" s="29"/>
      <c r="B2039" s="30"/>
    </row>
    <row r="2040" spans="1:2">
      <c r="A2040" s="29"/>
      <c r="B2040" s="30"/>
    </row>
    <row r="2041" spans="1:2">
      <c r="A2041" s="29"/>
      <c r="B2041" s="30"/>
    </row>
    <row r="2042" spans="1:2">
      <c r="A2042" s="29"/>
      <c r="B2042" s="30"/>
    </row>
    <row r="2043" spans="1:2">
      <c r="A2043" s="29"/>
      <c r="B2043" s="30"/>
    </row>
    <row r="2044" spans="1:2">
      <c r="A2044" s="29"/>
      <c r="B2044" s="30"/>
    </row>
    <row r="2045" spans="1:2">
      <c r="A2045" s="29"/>
      <c r="B2045" s="30"/>
    </row>
    <row r="2046" spans="1:2">
      <c r="A2046" s="29"/>
      <c r="B2046" s="30"/>
    </row>
    <row r="2047" spans="1:2">
      <c r="A2047" s="29"/>
      <c r="B2047" s="30"/>
    </row>
    <row r="2048" spans="1:2">
      <c r="A2048" s="29"/>
      <c r="B2048" s="30"/>
    </row>
    <row r="2049" spans="1:2">
      <c r="A2049" s="29"/>
      <c r="B2049" s="30"/>
    </row>
    <row r="2050" spans="1:2">
      <c r="A2050" s="29"/>
      <c r="B2050" s="30"/>
    </row>
    <row r="2051" spans="1:2">
      <c r="A2051" s="29"/>
      <c r="B2051" s="30"/>
    </row>
    <row r="2052" spans="1:2">
      <c r="A2052" s="29"/>
      <c r="B2052" s="30"/>
    </row>
    <row r="2053" spans="1:2">
      <c r="A2053" s="29"/>
      <c r="B2053" s="30"/>
    </row>
    <row r="2054" spans="1:2">
      <c r="A2054" s="29"/>
      <c r="B2054" s="30"/>
    </row>
    <row r="2055" spans="1:2">
      <c r="A2055" s="29"/>
      <c r="B2055" s="30"/>
    </row>
    <row r="2056" spans="1:2">
      <c r="A2056" s="29"/>
      <c r="B2056" s="30"/>
    </row>
    <row r="2057" spans="1:2">
      <c r="A2057" s="29"/>
      <c r="B2057" s="30"/>
    </row>
    <row r="2058" spans="1:2">
      <c r="A2058" s="29"/>
      <c r="B2058" s="30"/>
    </row>
    <row r="2059" spans="1:2">
      <c r="A2059" s="29"/>
      <c r="B2059" s="30"/>
    </row>
    <row r="2060" spans="1:2">
      <c r="A2060" s="29"/>
      <c r="B2060" s="30"/>
    </row>
    <row r="2061" spans="1:2">
      <c r="A2061" s="29"/>
      <c r="B2061" s="30"/>
    </row>
    <row r="2062" spans="1:2">
      <c r="A2062" s="29"/>
      <c r="B2062" s="30"/>
    </row>
    <row r="2063" spans="1:2">
      <c r="A2063" s="29"/>
      <c r="B2063" s="30"/>
    </row>
    <row r="2064" spans="1:2">
      <c r="A2064" s="29"/>
      <c r="B2064" s="30"/>
    </row>
    <row r="2065" spans="1:2">
      <c r="A2065" s="29"/>
      <c r="B2065" s="30"/>
    </row>
    <row r="2066" spans="1:2">
      <c r="A2066" s="29"/>
      <c r="B2066" s="30"/>
    </row>
    <row r="2067" spans="1:2">
      <c r="A2067" s="29"/>
      <c r="B2067" s="30"/>
    </row>
    <row r="2068" spans="1:2">
      <c r="A2068" s="29"/>
      <c r="B2068" s="30"/>
    </row>
    <row r="2069" spans="1:2">
      <c r="A2069" s="29"/>
      <c r="B2069" s="30"/>
    </row>
    <row r="2070" spans="1:2">
      <c r="A2070" s="29"/>
      <c r="B2070" s="30"/>
    </row>
    <row r="2071" spans="1:2">
      <c r="A2071" s="29"/>
      <c r="B2071" s="30"/>
    </row>
    <row r="2072" spans="1:2">
      <c r="A2072" s="29"/>
      <c r="B2072" s="30"/>
    </row>
    <row r="2073" spans="1:2">
      <c r="A2073" s="29"/>
      <c r="B2073" s="30"/>
    </row>
    <row r="2074" spans="1:2">
      <c r="A2074" s="29"/>
      <c r="B2074" s="30"/>
    </row>
    <row r="2075" spans="1:2">
      <c r="A2075" s="29"/>
      <c r="B2075" s="30"/>
    </row>
    <row r="2076" spans="1:2">
      <c r="A2076" s="29"/>
      <c r="B2076" s="30"/>
    </row>
    <row r="2077" spans="1:2">
      <c r="A2077" s="29"/>
      <c r="B2077" s="30"/>
    </row>
    <row r="2078" spans="1:2">
      <c r="A2078" s="29"/>
      <c r="B2078" s="30"/>
    </row>
    <row r="2079" spans="1:2">
      <c r="A2079" s="29"/>
      <c r="B2079" s="30"/>
    </row>
    <row r="2080" spans="1:2">
      <c r="A2080" s="29"/>
      <c r="B2080" s="30"/>
    </row>
    <row r="2081" spans="1:2">
      <c r="A2081" s="29"/>
      <c r="B2081" s="30"/>
    </row>
    <row r="2082" spans="1:2">
      <c r="A2082" s="29"/>
      <c r="B2082" s="30"/>
    </row>
    <row r="2083" spans="1:2">
      <c r="A2083" s="29"/>
      <c r="B2083" s="30"/>
    </row>
    <row r="2084" spans="1:2">
      <c r="A2084" s="29"/>
      <c r="B2084" s="30"/>
    </row>
    <row r="2085" spans="1:2">
      <c r="A2085" s="29"/>
      <c r="B2085" s="30"/>
    </row>
    <row r="2086" spans="1:2">
      <c r="A2086" s="29"/>
      <c r="B2086" s="30"/>
    </row>
    <row r="2087" spans="1:2">
      <c r="A2087" s="29"/>
      <c r="B2087" s="30"/>
    </row>
    <row r="2088" spans="1:2">
      <c r="A2088" s="29"/>
      <c r="B2088" s="30"/>
    </row>
    <row r="2089" spans="1:2">
      <c r="A2089" s="29"/>
      <c r="B2089" s="30"/>
    </row>
    <row r="2090" spans="1:2">
      <c r="A2090" s="29"/>
      <c r="B2090" s="30"/>
    </row>
    <row r="2091" spans="1:2">
      <c r="A2091" s="29"/>
      <c r="B2091" s="30"/>
    </row>
    <row r="2092" spans="1:2">
      <c r="A2092" s="29"/>
      <c r="B2092" s="30"/>
    </row>
    <row r="2093" spans="1:2">
      <c r="A2093" s="29"/>
      <c r="B2093" s="30"/>
    </row>
    <row r="2094" spans="1:2">
      <c r="A2094" s="29"/>
      <c r="B2094" s="30"/>
    </row>
    <row r="2095" spans="1:2">
      <c r="A2095" s="29"/>
      <c r="B2095" s="30"/>
    </row>
    <row r="2096" spans="1:2">
      <c r="A2096" s="29"/>
      <c r="B2096" s="30"/>
    </row>
    <row r="2097" spans="1:2">
      <c r="A2097" s="29"/>
      <c r="B2097" s="30"/>
    </row>
    <row r="2098" spans="1:2">
      <c r="A2098" s="29"/>
      <c r="B2098" s="30"/>
    </row>
    <row r="2099" spans="1:2">
      <c r="A2099" s="29"/>
      <c r="B2099" s="30"/>
    </row>
    <row r="2100" spans="1:2">
      <c r="A2100" s="29"/>
      <c r="B2100" s="30"/>
    </row>
    <row r="2101" spans="1:2">
      <c r="A2101" s="29"/>
      <c r="B2101" s="30"/>
    </row>
    <row r="2102" spans="1:2">
      <c r="A2102" s="29"/>
      <c r="B2102" s="30"/>
    </row>
    <row r="2103" spans="1:2">
      <c r="A2103" s="29"/>
      <c r="B2103" s="30"/>
    </row>
    <row r="2104" spans="1:2">
      <c r="A2104" s="29"/>
      <c r="B2104" s="30"/>
    </row>
    <row r="2105" spans="1:2">
      <c r="A2105" s="29"/>
      <c r="B2105" s="30"/>
    </row>
    <row r="2106" spans="1:2">
      <c r="A2106" s="29"/>
      <c r="B2106" s="30"/>
    </row>
    <row r="2107" spans="1:2">
      <c r="A2107" s="29"/>
      <c r="B2107" s="30"/>
    </row>
    <row r="2108" spans="1:2">
      <c r="A2108" s="29"/>
      <c r="B2108" s="30"/>
    </row>
    <row r="2109" spans="1:2">
      <c r="A2109" s="29"/>
      <c r="B2109" s="30"/>
    </row>
    <row r="2110" spans="1:2">
      <c r="A2110" s="29"/>
      <c r="B2110" s="30"/>
    </row>
    <row r="2111" spans="1:2">
      <c r="A2111" s="29"/>
      <c r="B2111" s="30"/>
    </row>
    <row r="2112" spans="1:2">
      <c r="A2112" s="29"/>
      <c r="B2112" s="30"/>
    </row>
    <row r="2113" spans="1:2">
      <c r="A2113" s="29"/>
      <c r="B2113" s="30"/>
    </row>
    <row r="2114" spans="1:2">
      <c r="A2114" s="29"/>
      <c r="B2114" s="30"/>
    </row>
    <row r="2115" spans="1:2">
      <c r="A2115" s="29"/>
      <c r="B2115" s="30"/>
    </row>
    <row r="2116" spans="1:2">
      <c r="A2116" s="29"/>
      <c r="B2116" s="30"/>
    </row>
    <row r="2117" spans="1:2">
      <c r="A2117" s="29"/>
      <c r="B2117" s="30"/>
    </row>
    <row r="2118" spans="1:2">
      <c r="A2118" s="29"/>
      <c r="B2118" s="30"/>
    </row>
    <row r="2119" spans="1:2">
      <c r="A2119" s="29"/>
      <c r="B2119" s="30"/>
    </row>
    <row r="2120" spans="1:2">
      <c r="A2120" s="29"/>
      <c r="B2120" s="30"/>
    </row>
    <row r="2121" spans="1:2">
      <c r="A2121" s="29"/>
      <c r="B2121" s="30"/>
    </row>
    <row r="2122" spans="1:2">
      <c r="A2122" s="29"/>
      <c r="B2122" s="30"/>
    </row>
    <row r="2123" spans="1:2">
      <c r="A2123" s="29"/>
      <c r="B2123" s="30"/>
    </row>
    <row r="2124" spans="1:2">
      <c r="A2124" s="29"/>
      <c r="B2124" s="30"/>
    </row>
    <row r="2125" spans="1:2">
      <c r="A2125" s="29"/>
      <c r="B2125" s="30"/>
    </row>
    <row r="2126" spans="1:2">
      <c r="A2126" s="29"/>
      <c r="B2126" s="30"/>
    </row>
    <row r="2127" spans="1:2">
      <c r="A2127" s="29"/>
      <c r="B2127" s="30"/>
    </row>
    <row r="2128" spans="1:2">
      <c r="A2128" s="29"/>
      <c r="B2128" s="30"/>
    </row>
    <row r="2129" spans="1:2">
      <c r="A2129" s="29"/>
      <c r="B2129" s="30"/>
    </row>
    <row r="2130" spans="1:2">
      <c r="A2130" s="29"/>
      <c r="B2130" s="30"/>
    </row>
    <row r="2131" spans="1:2">
      <c r="A2131" s="29"/>
      <c r="B2131" s="30"/>
    </row>
    <row r="2132" spans="1:2">
      <c r="A2132" s="29"/>
      <c r="B2132" s="30"/>
    </row>
    <row r="2133" spans="1:2">
      <c r="A2133" s="29"/>
      <c r="B2133" s="30"/>
    </row>
    <row r="2134" spans="1:2">
      <c r="A2134" s="29"/>
      <c r="B2134" s="30"/>
    </row>
    <row r="2135" spans="1:2">
      <c r="A2135" s="29"/>
      <c r="B2135" s="30"/>
    </row>
    <row r="2136" spans="1:2">
      <c r="A2136" s="29"/>
      <c r="B2136" s="30"/>
    </row>
    <row r="2137" spans="1:2">
      <c r="A2137" s="29"/>
      <c r="B2137" s="30"/>
    </row>
    <row r="2138" spans="1:2">
      <c r="A2138" s="29"/>
      <c r="B2138" s="30"/>
    </row>
    <row r="2139" spans="1:2">
      <c r="A2139" s="29"/>
      <c r="B2139" s="30"/>
    </row>
    <row r="2140" spans="1:2">
      <c r="A2140" s="29"/>
      <c r="B2140" s="30"/>
    </row>
    <row r="2141" spans="1:2">
      <c r="A2141" s="29"/>
      <c r="B2141" s="30"/>
    </row>
    <row r="2142" spans="1:2">
      <c r="A2142" s="29"/>
      <c r="B2142" s="30"/>
    </row>
    <row r="2143" spans="1:2">
      <c r="A2143" s="29"/>
      <c r="B2143" s="30"/>
    </row>
    <row r="2144" spans="1:2">
      <c r="A2144" s="29"/>
      <c r="B2144" s="30"/>
    </row>
    <row r="2145" spans="1:2">
      <c r="A2145" s="29"/>
      <c r="B2145" s="30"/>
    </row>
    <row r="2146" spans="1:2">
      <c r="A2146" s="29"/>
      <c r="B2146" s="30"/>
    </row>
    <row r="2147" spans="1:2">
      <c r="A2147" s="29"/>
      <c r="B2147" s="30"/>
    </row>
    <row r="2148" spans="1:2">
      <c r="A2148" s="29"/>
      <c r="B2148" s="30"/>
    </row>
    <row r="2149" spans="1:2">
      <c r="A2149" s="29"/>
      <c r="B2149" s="30"/>
    </row>
    <row r="2150" spans="1:2">
      <c r="A2150" s="29"/>
      <c r="B2150" s="30"/>
    </row>
    <row r="2151" spans="1:2">
      <c r="A2151" s="29"/>
      <c r="B2151" s="30"/>
    </row>
    <row r="2152" spans="1:2">
      <c r="A2152" s="29"/>
      <c r="B2152" s="30"/>
    </row>
    <row r="2153" spans="1:2">
      <c r="A2153" s="29"/>
      <c r="B2153" s="30"/>
    </row>
    <row r="2154" spans="1:2">
      <c r="A2154" s="29"/>
      <c r="B2154" s="30"/>
    </row>
    <row r="2155" spans="1:2">
      <c r="A2155" s="29"/>
      <c r="B2155" s="30"/>
    </row>
    <row r="2156" spans="1:2">
      <c r="A2156" s="29"/>
      <c r="B2156" s="30"/>
    </row>
    <row r="2157" spans="1:2">
      <c r="A2157" s="29"/>
      <c r="B2157" s="30"/>
    </row>
    <row r="2158" spans="1:2">
      <c r="A2158" s="29"/>
      <c r="B2158" s="30"/>
    </row>
    <row r="2159" spans="1:2">
      <c r="A2159" s="29"/>
      <c r="B2159" s="30"/>
    </row>
    <row r="2160" spans="1:2">
      <c r="A2160" s="29"/>
      <c r="B2160" s="30"/>
    </row>
    <row r="2161" spans="1:2">
      <c r="A2161" s="29"/>
      <c r="B2161" s="30"/>
    </row>
    <row r="2162" spans="1:2">
      <c r="A2162" s="29"/>
      <c r="B2162" s="30"/>
    </row>
    <row r="2163" spans="1:2">
      <c r="A2163" s="29"/>
      <c r="B2163" s="30"/>
    </row>
    <row r="2164" spans="1:2">
      <c r="A2164" s="29"/>
      <c r="B2164" s="30"/>
    </row>
    <row r="2165" spans="1:2">
      <c r="A2165" s="29"/>
      <c r="B2165" s="30"/>
    </row>
    <row r="2166" spans="1:2">
      <c r="A2166" s="29"/>
      <c r="B2166" s="30"/>
    </row>
    <row r="2167" spans="1:2">
      <c r="A2167" s="29"/>
      <c r="B2167" s="30"/>
    </row>
    <row r="2168" spans="1:2">
      <c r="A2168" s="29"/>
      <c r="B2168" s="30"/>
    </row>
    <row r="2169" spans="1:2">
      <c r="A2169" s="29"/>
      <c r="B2169" s="30"/>
    </row>
    <row r="2170" spans="1:2">
      <c r="A2170" s="29"/>
      <c r="B2170" s="30"/>
    </row>
    <row r="2171" spans="1:2">
      <c r="A2171" s="29"/>
      <c r="B2171" s="30"/>
    </row>
    <row r="2172" spans="1:2">
      <c r="A2172" s="29"/>
      <c r="B2172" s="30"/>
    </row>
    <row r="2173" spans="1:2">
      <c r="A2173" s="29"/>
      <c r="B2173" s="30"/>
    </row>
    <row r="2174" spans="1:2">
      <c r="A2174" s="29"/>
      <c r="B2174" s="30"/>
    </row>
    <row r="2175" spans="1:2">
      <c r="A2175" s="29"/>
      <c r="B2175" s="30"/>
    </row>
    <row r="2176" spans="1:2">
      <c r="A2176" s="29"/>
      <c r="B2176" s="30"/>
    </row>
    <row r="2177" spans="1:2">
      <c r="A2177" s="29"/>
      <c r="B2177" s="30"/>
    </row>
    <row r="2178" spans="1:2">
      <c r="A2178" s="29"/>
      <c r="B2178" s="30"/>
    </row>
    <row r="2179" spans="1:2">
      <c r="A2179" s="29"/>
      <c r="B2179" s="30"/>
    </row>
    <row r="2180" spans="1:2">
      <c r="A2180" s="29"/>
      <c r="B2180" s="30"/>
    </row>
    <row r="2181" spans="1:2">
      <c r="A2181" s="29"/>
      <c r="B2181" s="30"/>
    </row>
    <row r="2182" spans="1:2">
      <c r="A2182" s="29"/>
      <c r="B2182" s="30"/>
    </row>
    <row r="2183" spans="1:2">
      <c r="A2183" s="29"/>
      <c r="B2183" s="30"/>
    </row>
    <row r="2184" spans="1:2">
      <c r="A2184" s="29"/>
      <c r="B2184" s="30"/>
    </row>
    <row r="2185" spans="1:2">
      <c r="A2185" s="29"/>
      <c r="B2185" s="30"/>
    </row>
    <row r="2186" spans="1:2">
      <c r="A2186" s="29"/>
      <c r="B2186" s="30"/>
    </row>
    <row r="2187" spans="1:2">
      <c r="A2187" s="29"/>
      <c r="B2187" s="30"/>
    </row>
    <row r="2188" spans="1:2">
      <c r="A2188" s="29"/>
      <c r="B2188" s="30"/>
    </row>
    <row r="2189" spans="1:2">
      <c r="A2189" s="29"/>
      <c r="B2189" s="30"/>
    </row>
    <row r="2190" spans="1:2">
      <c r="A2190" s="29"/>
      <c r="B2190" s="30"/>
    </row>
    <row r="2191" spans="1:2">
      <c r="A2191" s="29"/>
      <c r="B2191" s="30"/>
    </row>
    <row r="2192" spans="1:2">
      <c r="A2192" s="29"/>
      <c r="B2192" s="30"/>
    </row>
    <row r="2193" spans="1:2">
      <c r="A2193" s="29"/>
      <c r="B2193" s="30"/>
    </row>
    <row r="2194" spans="1:2">
      <c r="A2194" s="29"/>
      <c r="B2194" s="30"/>
    </row>
    <row r="2195" spans="1:2">
      <c r="A2195" s="29"/>
      <c r="B2195" s="30"/>
    </row>
    <row r="2196" spans="1:2">
      <c r="A2196" s="29"/>
      <c r="B2196" s="30"/>
    </row>
    <row r="2197" spans="1:2">
      <c r="A2197" s="29"/>
      <c r="B2197" s="30"/>
    </row>
    <row r="2198" spans="1:2">
      <c r="A2198" s="29"/>
      <c r="B2198" s="30"/>
    </row>
    <row r="2199" spans="1:2">
      <c r="A2199" s="29"/>
      <c r="B2199" s="30"/>
    </row>
    <row r="2200" spans="1:2">
      <c r="A2200" s="29"/>
      <c r="B2200" s="30"/>
    </row>
    <row r="2201" spans="1:2">
      <c r="A2201" s="29"/>
      <c r="B2201" s="30"/>
    </row>
    <row r="2202" spans="1:2">
      <c r="A2202" s="29"/>
      <c r="B2202" s="30"/>
    </row>
    <row r="2203" spans="1:2">
      <c r="A2203" s="29"/>
      <c r="B2203" s="30"/>
    </row>
    <row r="2204" spans="1:2">
      <c r="A2204" s="29"/>
      <c r="B2204" s="30"/>
    </row>
    <row r="2205" spans="1:2">
      <c r="A2205" s="29"/>
      <c r="B2205" s="30"/>
    </row>
    <row r="2206" spans="1:2">
      <c r="A2206" s="29"/>
      <c r="B2206" s="30"/>
    </row>
    <row r="2207" spans="1:2">
      <c r="A2207" s="29"/>
      <c r="B2207" s="30"/>
    </row>
    <row r="2208" spans="1:2">
      <c r="A2208" s="29"/>
      <c r="B2208" s="30"/>
    </row>
    <row r="2209" spans="1:2">
      <c r="A2209" s="29"/>
      <c r="B2209" s="30"/>
    </row>
    <row r="2210" spans="1:2">
      <c r="A2210" s="29"/>
      <c r="B2210" s="30"/>
    </row>
    <row r="2211" spans="1:2">
      <c r="A2211" s="29"/>
      <c r="B2211" s="30"/>
    </row>
    <row r="2212" spans="1:2">
      <c r="A2212" s="29"/>
      <c r="B2212" s="30"/>
    </row>
    <row r="2213" spans="1:2">
      <c r="A2213" s="29"/>
      <c r="B2213" s="30"/>
    </row>
    <row r="2214" spans="1:2">
      <c r="A2214" s="29"/>
      <c r="B2214" s="30"/>
    </row>
    <row r="2215" spans="1:2">
      <c r="A2215" s="29"/>
      <c r="B2215" s="30"/>
    </row>
    <row r="2216" spans="1:2">
      <c r="A2216" s="29"/>
      <c r="B2216" s="30"/>
    </row>
    <row r="2217" spans="1:2">
      <c r="A2217" s="29"/>
      <c r="B2217" s="30"/>
    </row>
    <row r="2218" spans="1:2">
      <c r="A2218" s="29"/>
      <c r="B2218" s="30"/>
    </row>
    <row r="2219" spans="1:2">
      <c r="A2219" s="29"/>
      <c r="B2219" s="30"/>
    </row>
    <row r="2220" spans="1:2">
      <c r="A2220" s="29"/>
      <c r="B2220" s="30"/>
    </row>
    <row r="2221" spans="1:2">
      <c r="A2221" s="29"/>
      <c r="B2221" s="30"/>
    </row>
    <row r="2222" spans="1:2">
      <c r="A2222" s="29"/>
      <c r="B2222" s="30"/>
    </row>
    <row r="2223" spans="1:2">
      <c r="A2223" s="29"/>
      <c r="B2223" s="30"/>
    </row>
    <row r="2224" spans="1:2">
      <c r="A2224" s="29"/>
      <c r="B2224" s="30"/>
    </row>
    <row r="2225" spans="1:2">
      <c r="A2225" s="29"/>
      <c r="B2225" s="30"/>
    </row>
    <row r="2226" spans="1:2">
      <c r="A2226" s="29"/>
      <c r="B2226" s="30"/>
    </row>
    <row r="2227" spans="1:2">
      <c r="A2227" s="29"/>
      <c r="B2227" s="30"/>
    </row>
    <row r="2228" spans="1:2">
      <c r="A2228" s="29"/>
      <c r="B2228" s="30"/>
    </row>
    <row r="2229" spans="1:2">
      <c r="A2229" s="29"/>
      <c r="B2229" s="30"/>
    </row>
    <row r="2230" spans="1:2">
      <c r="A2230" s="29"/>
      <c r="B2230" s="30"/>
    </row>
    <row r="2231" spans="1:2">
      <c r="A2231" s="29"/>
      <c r="B2231" s="30"/>
    </row>
    <row r="2232" spans="1:2">
      <c r="A2232" s="29"/>
      <c r="B2232" s="30"/>
    </row>
    <row r="2233" spans="1:2">
      <c r="A2233" s="29"/>
      <c r="B2233" s="30"/>
    </row>
    <row r="2234" spans="1:2">
      <c r="A2234" s="29"/>
      <c r="B2234" s="30"/>
    </row>
    <row r="2235" spans="1:2">
      <c r="A2235" s="29"/>
      <c r="B2235" s="30"/>
    </row>
    <row r="2236" spans="1:2">
      <c r="A2236" s="29"/>
      <c r="B2236" s="30"/>
    </row>
    <row r="2237" spans="1:2">
      <c r="A2237" s="29"/>
      <c r="B2237" s="30"/>
    </row>
    <row r="2238" spans="1:2">
      <c r="A2238" s="29"/>
      <c r="B2238" s="30"/>
    </row>
    <row r="2239" spans="1:2">
      <c r="A2239" s="29"/>
      <c r="B2239" s="30"/>
    </row>
    <row r="2240" spans="1:2">
      <c r="A2240" s="29"/>
      <c r="B2240" s="30"/>
    </row>
    <row r="2241" spans="1:2">
      <c r="A2241" s="29"/>
      <c r="B2241" s="30"/>
    </row>
    <row r="2242" spans="1:2">
      <c r="A2242" s="29"/>
      <c r="B2242" s="30"/>
    </row>
    <row r="2243" spans="1:2">
      <c r="A2243" s="29"/>
      <c r="B2243" s="30"/>
    </row>
    <row r="2244" spans="1:2">
      <c r="A2244" s="29"/>
      <c r="B2244" s="30"/>
    </row>
    <row r="2245" spans="1:2">
      <c r="A2245" s="29"/>
      <c r="B2245" s="30"/>
    </row>
    <row r="2246" spans="1:2">
      <c r="A2246" s="29"/>
      <c r="B2246" s="30"/>
    </row>
    <row r="2247" spans="1:2">
      <c r="A2247" s="29"/>
      <c r="B2247" s="30"/>
    </row>
    <row r="2248" spans="1:2">
      <c r="A2248" s="29"/>
      <c r="B2248" s="30"/>
    </row>
    <row r="2249" spans="1:2">
      <c r="A2249" s="29"/>
      <c r="B2249" s="30"/>
    </row>
    <row r="2250" spans="1:2">
      <c r="A2250" s="29"/>
      <c r="B2250" s="30"/>
    </row>
    <row r="2251" spans="1:2">
      <c r="A2251" s="29"/>
      <c r="B2251" s="30"/>
    </row>
    <row r="2252" spans="1:2">
      <c r="A2252" s="29"/>
      <c r="B2252" s="30"/>
    </row>
    <row r="2253" spans="1:2">
      <c r="A2253" s="29"/>
      <c r="B2253" s="30"/>
    </row>
    <row r="2254" spans="1:2">
      <c r="A2254" s="29"/>
      <c r="B2254" s="30"/>
    </row>
    <row r="2255" spans="1:2">
      <c r="A2255" s="29"/>
      <c r="B2255" s="30"/>
    </row>
    <row r="2256" spans="1:2">
      <c r="A2256" s="29"/>
      <c r="B2256" s="30"/>
    </row>
    <row r="2257" spans="1:2">
      <c r="A2257" s="29"/>
      <c r="B2257" s="30"/>
    </row>
    <row r="2258" spans="1:2">
      <c r="A2258" s="29"/>
      <c r="B2258" s="30"/>
    </row>
    <row r="2259" spans="1:2">
      <c r="A2259" s="29"/>
      <c r="B2259" s="30"/>
    </row>
    <row r="2260" spans="1:2">
      <c r="A2260" s="29"/>
      <c r="B2260" s="30"/>
    </row>
    <row r="2261" spans="1:2">
      <c r="A2261" s="29"/>
      <c r="B2261" s="30"/>
    </row>
    <row r="2262" spans="1:2">
      <c r="A2262" s="29"/>
      <c r="B2262" s="30"/>
    </row>
    <row r="2263" spans="1:2">
      <c r="A2263" s="29"/>
      <c r="B2263" s="30"/>
    </row>
    <row r="2264" spans="1:2">
      <c r="A2264" s="29"/>
      <c r="B2264" s="30"/>
    </row>
    <row r="2265" spans="1:2">
      <c r="A2265" s="29"/>
      <c r="B2265" s="30"/>
    </row>
    <row r="2266" spans="1:2">
      <c r="A2266" s="29"/>
      <c r="B2266" s="30"/>
    </row>
    <row r="2267" spans="1:2">
      <c r="A2267" s="29"/>
      <c r="B2267" s="30"/>
    </row>
    <row r="2268" spans="1:2">
      <c r="A2268" s="29"/>
      <c r="B2268" s="30"/>
    </row>
    <row r="2269" spans="1:2">
      <c r="A2269" s="29"/>
      <c r="B2269" s="30"/>
    </row>
    <row r="2270" spans="1:2">
      <c r="A2270" s="29"/>
      <c r="B2270" s="30"/>
    </row>
    <row r="2271" spans="1:2">
      <c r="A2271" s="29"/>
      <c r="B2271" s="30"/>
    </row>
    <row r="2272" spans="1:2">
      <c r="A2272" s="29"/>
      <c r="B2272" s="30"/>
    </row>
    <row r="2273" spans="1:2">
      <c r="A2273" s="29"/>
      <c r="B2273" s="30"/>
    </row>
    <row r="2274" spans="1:2">
      <c r="A2274" s="29"/>
      <c r="B2274" s="30"/>
    </row>
    <row r="2275" spans="1:2">
      <c r="A2275" s="29"/>
      <c r="B2275" s="30"/>
    </row>
    <row r="2276" spans="1:2">
      <c r="A2276" s="29"/>
      <c r="B2276" s="30"/>
    </row>
    <row r="2277" spans="1:2">
      <c r="A2277" s="29"/>
      <c r="B2277" s="30"/>
    </row>
    <row r="2278" spans="1:2">
      <c r="A2278" s="29"/>
      <c r="B2278" s="30"/>
    </row>
    <row r="2279" spans="1:2">
      <c r="A2279" s="29"/>
      <c r="B2279" s="30"/>
    </row>
    <row r="2280" spans="1:2">
      <c r="A2280" s="29"/>
      <c r="B2280" s="30"/>
    </row>
    <row r="2281" spans="1:2">
      <c r="A2281" s="29"/>
      <c r="B2281" s="30"/>
    </row>
    <row r="2282" spans="1:2">
      <c r="A2282" s="29"/>
      <c r="B2282" s="30"/>
    </row>
    <row r="2283" spans="1:2">
      <c r="A2283" s="29"/>
      <c r="B2283" s="30"/>
    </row>
    <row r="2284" spans="1:2">
      <c r="A2284" s="29"/>
      <c r="B2284" s="30"/>
    </row>
    <row r="2285" spans="1:2">
      <c r="A2285" s="29"/>
      <c r="B2285" s="30"/>
    </row>
    <row r="2286" spans="1:2">
      <c r="A2286" s="29"/>
      <c r="B2286" s="30"/>
    </row>
    <row r="2287" spans="1:2">
      <c r="A2287" s="29"/>
      <c r="B2287" s="30"/>
    </row>
    <row r="2288" spans="1:2">
      <c r="A2288" s="29"/>
      <c r="B2288" s="30"/>
    </row>
    <row r="2289" spans="1:2">
      <c r="A2289" s="29"/>
      <c r="B2289" s="30"/>
    </row>
    <row r="2290" spans="1:2">
      <c r="A2290" s="29"/>
      <c r="B2290" s="30"/>
    </row>
    <row r="2291" spans="1:2">
      <c r="A2291" s="29"/>
      <c r="B2291" s="30"/>
    </row>
    <row r="2292" spans="1:2">
      <c r="A2292" s="29"/>
      <c r="B2292" s="30"/>
    </row>
    <row r="2293" spans="1:2">
      <c r="A2293" s="29"/>
      <c r="B2293" s="30"/>
    </row>
    <row r="2294" spans="1:2">
      <c r="A2294" s="29"/>
      <c r="B2294" s="30"/>
    </row>
    <row r="2295" spans="1:2">
      <c r="A2295" s="29"/>
      <c r="B2295" s="30"/>
    </row>
    <row r="2296" spans="1:2">
      <c r="A2296" s="29"/>
      <c r="B2296" s="30"/>
    </row>
    <row r="2297" spans="1:2">
      <c r="A2297" s="29"/>
      <c r="B2297" s="30"/>
    </row>
    <row r="2298" spans="1:2">
      <c r="A2298" s="29"/>
      <c r="B2298" s="30"/>
    </row>
    <row r="2299" spans="1:2">
      <c r="A2299" s="29"/>
      <c r="B2299" s="30"/>
    </row>
    <row r="2300" spans="1:2">
      <c r="A2300" s="29"/>
      <c r="B2300" s="30"/>
    </row>
    <row r="2301" spans="1:2">
      <c r="A2301" s="29"/>
      <c r="B2301" s="30"/>
    </row>
    <row r="2302" spans="1:2">
      <c r="A2302" s="29"/>
      <c r="B2302" s="30"/>
    </row>
    <row r="2303" spans="1:2">
      <c r="A2303" s="29"/>
      <c r="B2303" s="30"/>
    </row>
    <row r="2304" spans="1:2">
      <c r="A2304" s="29"/>
      <c r="B2304" s="30"/>
    </row>
    <row r="2305" spans="1:2">
      <c r="A2305" s="29"/>
      <c r="B2305" s="30"/>
    </row>
    <row r="2306" spans="1:2">
      <c r="A2306" s="29"/>
      <c r="B2306" s="30"/>
    </row>
    <row r="2307" spans="1:2">
      <c r="A2307" s="29"/>
      <c r="B2307" s="30"/>
    </row>
    <row r="2308" spans="1:2">
      <c r="A2308" s="29"/>
      <c r="B2308" s="30"/>
    </row>
    <row r="2309" spans="1:2">
      <c r="A2309" s="29"/>
      <c r="B2309" s="30"/>
    </row>
    <row r="2310" spans="1:2">
      <c r="A2310" s="29"/>
      <c r="B2310" s="30"/>
    </row>
    <row r="2311" spans="1:2">
      <c r="A2311" s="29"/>
      <c r="B2311" s="30"/>
    </row>
    <row r="2312" spans="1:2">
      <c r="A2312" s="29"/>
      <c r="B2312" s="30"/>
    </row>
    <row r="2313" spans="1:2">
      <c r="A2313" s="29"/>
      <c r="B2313" s="30"/>
    </row>
    <row r="2314" spans="1:2">
      <c r="A2314" s="29"/>
      <c r="B2314" s="30"/>
    </row>
    <row r="2315" spans="1:2">
      <c r="A2315" s="29"/>
      <c r="B2315" s="30"/>
    </row>
    <row r="2316" spans="1:2">
      <c r="A2316" s="29"/>
      <c r="B2316" s="30"/>
    </row>
    <row r="2317" spans="1:2">
      <c r="A2317" s="29"/>
      <c r="B2317" s="30"/>
    </row>
    <row r="2318" spans="1:2">
      <c r="A2318" s="29"/>
      <c r="B2318" s="30"/>
    </row>
    <row r="2319" spans="1:2">
      <c r="A2319" s="29"/>
      <c r="B2319" s="30"/>
    </row>
    <row r="2320" spans="1:2">
      <c r="A2320" s="29"/>
      <c r="B2320" s="30"/>
    </row>
    <row r="2321" spans="1:2">
      <c r="A2321" s="29"/>
      <c r="B2321" s="30"/>
    </row>
    <row r="2322" spans="1:2">
      <c r="A2322" s="29"/>
      <c r="B2322" s="30"/>
    </row>
    <row r="2323" spans="1:2">
      <c r="A2323" s="29"/>
      <c r="B2323" s="30"/>
    </row>
    <row r="2324" spans="1:2">
      <c r="A2324" s="29"/>
      <c r="B2324" s="30"/>
    </row>
    <row r="2325" spans="1:2">
      <c r="A2325" s="29"/>
      <c r="B2325" s="30"/>
    </row>
    <row r="2326" spans="1:2">
      <c r="A2326" s="29"/>
      <c r="B2326" s="30"/>
    </row>
    <row r="2327" spans="1:2">
      <c r="A2327" s="29"/>
      <c r="B2327" s="30"/>
    </row>
    <row r="2328" spans="1:2">
      <c r="A2328" s="29"/>
      <c r="B2328" s="30"/>
    </row>
    <row r="2329" spans="1:2">
      <c r="A2329" s="29"/>
      <c r="B2329" s="30"/>
    </row>
    <row r="2330" spans="1:2">
      <c r="A2330" s="29"/>
      <c r="B2330" s="30"/>
    </row>
    <row r="2331" spans="1:2">
      <c r="A2331" s="29"/>
      <c r="B2331" s="30"/>
    </row>
    <row r="2332" spans="1:2">
      <c r="A2332" s="29"/>
      <c r="B2332" s="30"/>
    </row>
    <row r="2333" spans="1:2">
      <c r="A2333" s="29"/>
      <c r="B2333" s="30"/>
    </row>
    <row r="2334" spans="1:2">
      <c r="A2334" s="29"/>
      <c r="B2334" s="30"/>
    </row>
    <row r="2335" spans="1:2">
      <c r="A2335" s="29"/>
      <c r="B2335" s="30"/>
    </row>
    <row r="2336" spans="1:2">
      <c r="A2336" s="29"/>
      <c r="B2336" s="30"/>
    </row>
    <row r="2337" spans="1:2">
      <c r="A2337" s="29"/>
      <c r="B2337" s="30"/>
    </row>
    <row r="2338" spans="1:2">
      <c r="A2338" s="29"/>
      <c r="B2338" s="30"/>
    </row>
    <row r="2339" spans="1:2">
      <c r="A2339" s="29"/>
      <c r="B2339" s="30"/>
    </row>
    <row r="2340" spans="1:2">
      <c r="A2340" s="29"/>
      <c r="B2340" s="30"/>
    </row>
    <row r="2341" spans="1:2">
      <c r="A2341" s="29"/>
      <c r="B2341" s="30"/>
    </row>
    <row r="2342" spans="1:2">
      <c r="A2342" s="29"/>
      <c r="B2342" s="30"/>
    </row>
    <row r="2343" spans="1:2">
      <c r="A2343" s="29"/>
      <c r="B2343" s="30"/>
    </row>
    <row r="2344" spans="1:2">
      <c r="A2344" s="29"/>
      <c r="B2344" s="30"/>
    </row>
    <row r="2345" spans="1:2">
      <c r="A2345" s="29"/>
      <c r="B2345" s="30"/>
    </row>
    <row r="2346" spans="1:2">
      <c r="A2346" s="29"/>
      <c r="B2346" s="30"/>
    </row>
    <row r="2347" spans="1:2">
      <c r="A2347" s="29"/>
      <c r="B2347" s="30"/>
    </row>
    <row r="2348" spans="1:2">
      <c r="A2348" s="29"/>
      <c r="B2348" s="30"/>
    </row>
    <row r="2349" spans="1:2">
      <c r="A2349" s="29"/>
      <c r="B2349" s="30"/>
    </row>
    <row r="2350" spans="1:2">
      <c r="A2350" s="29"/>
      <c r="B2350" s="30"/>
    </row>
    <row r="2351" spans="1:2">
      <c r="A2351" s="29"/>
      <c r="B2351" s="30"/>
    </row>
    <row r="2352" spans="1:2">
      <c r="A2352" s="29"/>
      <c r="B2352" s="30"/>
    </row>
    <row r="2353" spans="1:2">
      <c r="A2353" s="29"/>
      <c r="B2353" s="30"/>
    </row>
    <row r="2354" spans="1:2">
      <c r="A2354" s="29"/>
      <c r="B2354" s="30"/>
    </row>
    <row r="2355" spans="1:2">
      <c r="A2355" s="29"/>
      <c r="B2355" s="30"/>
    </row>
    <row r="2356" spans="1:2">
      <c r="A2356" s="29"/>
      <c r="B2356" s="30"/>
    </row>
    <row r="2357" spans="1:2">
      <c r="A2357" s="29"/>
      <c r="B2357" s="30"/>
    </row>
    <row r="2358" spans="1:2">
      <c r="A2358" s="29"/>
      <c r="B2358" s="30"/>
    </row>
    <row r="2359" spans="1:2">
      <c r="A2359" s="29"/>
      <c r="B2359" s="30"/>
    </row>
    <row r="2360" spans="1:2">
      <c r="A2360" s="29"/>
      <c r="B2360" s="30"/>
    </row>
    <row r="2361" spans="1:2">
      <c r="A2361" s="29"/>
      <c r="B2361" s="30"/>
    </row>
    <row r="2362" spans="1:2">
      <c r="A2362" s="29"/>
      <c r="B2362" s="30"/>
    </row>
    <row r="2363" spans="1:2">
      <c r="A2363" s="29"/>
      <c r="B2363" s="30"/>
    </row>
    <row r="2364" spans="1:2">
      <c r="A2364" s="29"/>
      <c r="B2364" s="30"/>
    </row>
    <row r="2365" spans="1:2">
      <c r="A2365" s="29"/>
      <c r="B2365" s="30"/>
    </row>
    <row r="2366" spans="1:2">
      <c r="A2366" s="29"/>
      <c r="B2366" s="30"/>
    </row>
    <row r="2367" spans="1:2">
      <c r="A2367" s="29"/>
      <c r="B2367" s="30"/>
    </row>
    <row r="2368" spans="1:2">
      <c r="A2368" s="29"/>
      <c r="B2368" s="30"/>
    </row>
    <row r="2369" spans="1:2">
      <c r="A2369" s="29"/>
      <c r="B2369" s="30"/>
    </row>
    <row r="2370" spans="1:2">
      <c r="A2370" s="29"/>
      <c r="B2370" s="30"/>
    </row>
    <row r="2371" spans="1:2">
      <c r="A2371" s="29"/>
      <c r="B2371" s="30"/>
    </row>
    <row r="2372" spans="1:2">
      <c r="A2372" s="29"/>
      <c r="B2372" s="30"/>
    </row>
    <row r="2373" spans="1:2">
      <c r="A2373" s="29"/>
      <c r="B2373" s="30"/>
    </row>
    <row r="2374" spans="1:2">
      <c r="A2374" s="29"/>
      <c r="B2374" s="30"/>
    </row>
    <row r="2375" spans="1:2">
      <c r="A2375" s="29"/>
      <c r="B2375" s="30"/>
    </row>
    <row r="2376" spans="1:2">
      <c r="A2376" s="29"/>
      <c r="B2376" s="30"/>
    </row>
    <row r="2377" spans="1:2">
      <c r="A2377" s="29"/>
      <c r="B2377" s="30"/>
    </row>
    <row r="2378" spans="1:2">
      <c r="A2378" s="29"/>
      <c r="B2378" s="30"/>
    </row>
    <row r="2379" spans="1:2">
      <c r="A2379" s="29"/>
      <c r="B2379" s="30"/>
    </row>
    <row r="2380" spans="1:2">
      <c r="A2380" s="29"/>
      <c r="B2380" s="30"/>
    </row>
    <row r="2381" spans="1:2">
      <c r="A2381" s="29"/>
      <c r="B2381" s="30"/>
    </row>
    <row r="2382" spans="1:2">
      <c r="A2382" s="29"/>
      <c r="B2382" s="30"/>
    </row>
    <row r="2383" spans="1:2">
      <c r="A2383" s="29"/>
      <c r="B2383" s="30"/>
    </row>
    <row r="2384" spans="1:2">
      <c r="A2384" s="29"/>
      <c r="B2384" s="30"/>
    </row>
    <row r="2385" spans="1:2">
      <c r="A2385" s="29"/>
      <c r="B2385" s="30"/>
    </row>
    <row r="2386" spans="1:2">
      <c r="A2386" s="29"/>
      <c r="B2386" s="30"/>
    </row>
    <row r="2387" spans="1:2">
      <c r="A2387" s="29"/>
      <c r="B2387" s="30"/>
    </row>
    <row r="2388" spans="1:2">
      <c r="A2388" s="29"/>
      <c r="B2388" s="30"/>
    </row>
    <row r="2389" spans="1:2">
      <c r="A2389" s="29"/>
      <c r="B2389" s="30"/>
    </row>
    <row r="2390" spans="1:2">
      <c r="A2390" s="29"/>
      <c r="B2390" s="30"/>
    </row>
    <row r="2391" spans="1:2">
      <c r="A2391" s="29"/>
      <c r="B2391" s="30"/>
    </row>
    <row r="2392" spans="1:2">
      <c r="A2392" s="29"/>
      <c r="B2392" s="30"/>
    </row>
    <row r="2393" spans="1:2">
      <c r="A2393" s="29"/>
      <c r="B2393" s="30"/>
    </row>
    <row r="2394" spans="1:2">
      <c r="A2394" s="29"/>
      <c r="B2394" s="30"/>
    </row>
    <row r="2395" spans="1:2">
      <c r="A2395" s="29"/>
      <c r="B2395" s="30"/>
    </row>
    <row r="2396" spans="1:2">
      <c r="A2396" s="29"/>
      <c r="B2396" s="30"/>
    </row>
    <row r="2397" spans="1:2">
      <c r="A2397" s="29"/>
      <c r="B2397" s="30"/>
    </row>
    <row r="2398" spans="1:2">
      <c r="A2398" s="29"/>
      <c r="B2398" s="30"/>
    </row>
    <row r="2399" spans="1:2">
      <c r="A2399" s="29"/>
      <c r="B2399" s="30"/>
    </row>
    <row r="2400" spans="1:2">
      <c r="A2400" s="29"/>
      <c r="B2400" s="30"/>
    </row>
    <row r="2401" spans="1:2">
      <c r="A2401" s="29"/>
      <c r="B2401" s="30"/>
    </row>
    <row r="2402" spans="1:2">
      <c r="A2402" s="29"/>
      <c r="B2402" s="30"/>
    </row>
    <row r="2403" spans="1:2">
      <c r="A2403" s="29"/>
      <c r="B2403" s="30"/>
    </row>
    <row r="2404" spans="1:2">
      <c r="A2404" s="29"/>
      <c r="B2404" s="30"/>
    </row>
    <row r="2405" spans="1:2">
      <c r="A2405" s="29"/>
      <c r="B2405" s="30"/>
    </row>
    <row r="2406" spans="1:2">
      <c r="A2406" s="29"/>
      <c r="B2406" s="30"/>
    </row>
    <row r="2407" spans="1:2">
      <c r="A2407" s="29"/>
      <c r="B2407" s="30"/>
    </row>
    <row r="2408" spans="1:2">
      <c r="A2408" s="29"/>
      <c r="B2408" s="30"/>
    </row>
    <row r="2409" spans="1:2">
      <c r="A2409" s="29"/>
      <c r="B2409" s="30"/>
    </row>
    <row r="2410" spans="1:2">
      <c r="A2410" s="29"/>
      <c r="B2410" s="30"/>
    </row>
    <row r="2411" spans="1:2">
      <c r="A2411" s="29"/>
      <c r="B2411" s="30"/>
    </row>
    <row r="2412" spans="1:2">
      <c r="A2412" s="29"/>
      <c r="B2412" s="30"/>
    </row>
    <row r="2413" spans="1:2">
      <c r="A2413" s="29"/>
      <c r="B2413" s="30"/>
    </row>
    <row r="2414" spans="1:2">
      <c r="A2414" s="29"/>
      <c r="B2414" s="30"/>
    </row>
    <row r="2415" spans="1:2">
      <c r="A2415" s="29"/>
      <c r="B2415" s="30"/>
    </row>
    <row r="2416" spans="1:2">
      <c r="A2416" s="29"/>
      <c r="B2416" s="30"/>
    </row>
    <row r="2417" spans="1:2">
      <c r="A2417" s="29"/>
      <c r="B2417" s="30"/>
    </row>
    <row r="2418" spans="1:2">
      <c r="A2418" s="29"/>
      <c r="B2418" s="30"/>
    </row>
    <row r="2419" spans="1:2">
      <c r="A2419" s="29"/>
      <c r="B2419" s="30"/>
    </row>
    <row r="2420" spans="1:2">
      <c r="A2420" s="29"/>
      <c r="B2420" s="30"/>
    </row>
    <row r="2421" spans="1:2">
      <c r="A2421" s="29"/>
      <c r="B2421" s="30"/>
    </row>
    <row r="2422" spans="1:2">
      <c r="A2422" s="29"/>
      <c r="B2422" s="30"/>
    </row>
    <row r="2423" spans="1:2">
      <c r="A2423" s="29"/>
      <c r="B2423" s="30"/>
    </row>
    <row r="2424" spans="1:2">
      <c r="A2424" s="29"/>
      <c r="B2424" s="30"/>
    </row>
    <row r="2425" spans="1:2">
      <c r="A2425" s="29"/>
      <c r="B2425" s="30"/>
    </row>
    <row r="2426" spans="1:2">
      <c r="A2426" s="29"/>
      <c r="B2426" s="30"/>
    </row>
    <row r="2427" spans="1:2">
      <c r="A2427" s="29"/>
      <c r="B2427" s="30"/>
    </row>
    <row r="2428" spans="1:2">
      <c r="A2428" s="29"/>
      <c r="B2428" s="30"/>
    </row>
    <row r="2429" spans="1:2">
      <c r="A2429" s="29"/>
      <c r="B2429" s="30"/>
    </row>
    <row r="2430" spans="1:2">
      <c r="A2430" s="29"/>
      <c r="B2430" s="30"/>
    </row>
    <row r="2431" spans="1:2">
      <c r="A2431" s="29"/>
      <c r="B2431" s="30"/>
    </row>
    <row r="2432" spans="1:2">
      <c r="A2432" s="29"/>
      <c r="B2432" s="30"/>
    </row>
    <row r="2433" spans="1:2">
      <c r="A2433" s="29"/>
      <c r="B2433" s="30"/>
    </row>
    <row r="2434" spans="1:2">
      <c r="A2434" s="29"/>
      <c r="B2434" s="30"/>
    </row>
    <row r="2435" spans="1:2">
      <c r="A2435" s="29"/>
      <c r="B2435" s="30"/>
    </row>
    <row r="2436" spans="1:2">
      <c r="A2436" s="29"/>
      <c r="B2436" s="30"/>
    </row>
    <row r="2437" spans="1:2">
      <c r="A2437" s="29"/>
      <c r="B2437" s="30"/>
    </row>
    <row r="2438" spans="1:2">
      <c r="A2438" s="29"/>
      <c r="B2438" s="30"/>
    </row>
    <row r="2439" spans="1:2">
      <c r="A2439" s="29"/>
      <c r="B2439" s="30"/>
    </row>
    <row r="2440" spans="1:2">
      <c r="A2440" s="29"/>
      <c r="B2440" s="30"/>
    </row>
    <row r="2441" spans="1:2">
      <c r="A2441" s="29"/>
      <c r="B2441" s="30"/>
    </row>
    <row r="2442" spans="1:2">
      <c r="A2442" s="29"/>
      <c r="B2442" s="30"/>
    </row>
    <row r="2443" spans="1:2">
      <c r="A2443" s="29"/>
      <c r="B2443" s="30"/>
    </row>
    <row r="2444" spans="1:2">
      <c r="A2444" s="29"/>
      <c r="B2444" s="30"/>
    </row>
    <row r="2445" spans="1:2">
      <c r="A2445" s="29"/>
      <c r="B2445" s="30"/>
    </row>
    <row r="2446" spans="1:2">
      <c r="A2446" s="29"/>
      <c r="B2446" s="30"/>
    </row>
    <row r="2447" spans="1:2">
      <c r="A2447" s="29"/>
      <c r="B2447" s="30"/>
    </row>
    <row r="2448" spans="1:2">
      <c r="A2448" s="29"/>
      <c r="B2448" s="30"/>
    </row>
    <row r="2449" spans="1:2">
      <c r="A2449" s="29"/>
      <c r="B2449" s="30"/>
    </row>
    <row r="2450" spans="1:2">
      <c r="A2450" s="29"/>
      <c r="B2450" s="30"/>
    </row>
    <row r="2451" spans="1:2">
      <c r="A2451" s="29"/>
      <c r="B2451" s="30"/>
    </row>
    <row r="2452" spans="1:2">
      <c r="A2452" s="29"/>
      <c r="B2452" s="30"/>
    </row>
    <row r="2453" spans="1:2">
      <c r="A2453" s="29"/>
      <c r="B2453" s="30"/>
    </row>
    <row r="2454" spans="1:2">
      <c r="A2454" s="29"/>
      <c r="B2454" s="30"/>
    </row>
    <row r="2455" spans="1:2">
      <c r="A2455" s="29"/>
      <c r="B2455" s="30"/>
    </row>
    <row r="2456" spans="1:2">
      <c r="A2456" s="29"/>
      <c r="B2456" s="30"/>
    </row>
    <row r="2457" spans="1:2">
      <c r="A2457" s="29"/>
      <c r="B2457" s="30"/>
    </row>
    <row r="2458" spans="1:2">
      <c r="A2458" s="29"/>
      <c r="B2458" s="30"/>
    </row>
    <row r="2459" spans="1:2">
      <c r="A2459" s="29"/>
      <c r="B2459" s="30"/>
    </row>
    <row r="2460" spans="1:2">
      <c r="A2460" s="29"/>
      <c r="B2460" s="30"/>
    </row>
    <row r="2461" spans="1:2">
      <c r="A2461" s="29"/>
      <c r="B2461" s="30"/>
    </row>
    <row r="2462" spans="1:2">
      <c r="A2462" s="29"/>
      <c r="B2462" s="30"/>
    </row>
    <row r="2463" spans="1:2">
      <c r="A2463" s="29"/>
      <c r="B2463" s="30"/>
    </row>
    <row r="2464" spans="1:2">
      <c r="A2464" s="29"/>
      <c r="B2464" s="30"/>
    </row>
    <row r="2465" spans="1:2">
      <c r="A2465" s="29"/>
      <c r="B2465" s="30"/>
    </row>
    <row r="2466" spans="1:2">
      <c r="A2466" s="29"/>
      <c r="B2466" s="30"/>
    </row>
    <row r="2467" spans="1:2">
      <c r="A2467" s="29"/>
      <c r="B2467" s="30"/>
    </row>
    <row r="2468" spans="1:2">
      <c r="A2468" s="29"/>
      <c r="B2468" s="30"/>
    </row>
    <row r="2469" spans="1:2">
      <c r="A2469" s="29"/>
      <c r="B2469" s="30"/>
    </row>
    <row r="2470" spans="1:2">
      <c r="A2470" s="29"/>
      <c r="B2470" s="30"/>
    </row>
    <row r="2471" spans="1:2">
      <c r="A2471" s="29"/>
      <c r="B2471" s="30"/>
    </row>
    <row r="2472" spans="1:2">
      <c r="A2472" s="29"/>
      <c r="B2472" s="30"/>
    </row>
    <row r="2473" spans="1:2">
      <c r="A2473" s="29"/>
      <c r="B2473" s="30"/>
    </row>
    <row r="2474" spans="1:2">
      <c r="A2474" s="29"/>
      <c r="B2474" s="30"/>
    </row>
    <row r="2475" spans="1:2">
      <c r="A2475" s="29"/>
      <c r="B2475" s="30"/>
    </row>
    <row r="2476" spans="1:2">
      <c r="A2476" s="29"/>
      <c r="B2476" s="30"/>
    </row>
    <row r="2477" spans="1:2">
      <c r="A2477" s="29"/>
      <c r="B2477" s="30"/>
    </row>
    <row r="2478" spans="1:2">
      <c r="A2478" s="29"/>
      <c r="B2478" s="30"/>
    </row>
    <row r="2479" spans="1:2">
      <c r="A2479" s="29"/>
      <c r="B2479" s="30"/>
    </row>
    <row r="2480" spans="1:2">
      <c r="A2480" s="29"/>
      <c r="B2480" s="30"/>
    </row>
    <row r="2481" spans="1:2">
      <c r="A2481" s="29"/>
      <c r="B2481" s="30"/>
    </row>
    <row r="2482" spans="1:2">
      <c r="A2482" s="29"/>
      <c r="B2482" s="30"/>
    </row>
    <row r="2483" spans="1:2">
      <c r="A2483" s="29"/>
      <c r="B2483" s="30"/>
    </row>
    <row r="2484" spans="1:2">
      <c r="A2484" s="29"/>
      <c r="B2484" s="30"/>
    </row>
    <row r="2485" spans="1:2">
      <c r="A2485" s="29"/>
      <c r="B2485" s="30"/>
    </row>
    <row r="2486" spans="1:2">
      <c r="A2486" s="29"/>
      <c r="B2486" s="30"/>
    </row>
    <row r="2487" spans="1:2">
      <c r="A2487" s="29"/>
      <c r="B2487" s="30"/>
    </row>
    <row r="2488" spans="1:2">
      <c r="A2488" s="29"/>
      <c r="B2488" s="30"/>
    </row>
    <row r="2489" spans="1:2">
      <c r="A2489" s="29"/>
      <c r="B2489" s="30"/>
    </row>
    <row r="2490" spans="1:2">
      <c r="A2490" s="29"/>
      <c r="B2490" s="30"/>
    </row>
    <row r="2491" spans="1:2">
      <c r="A2491" s="29"/>
      <c r="B2491" s="30"/>
    </row>
    <row r="2492" spans="1:2">
      <c r="A2492" s="29"/>
      <c r="B2492" s="30"/>
    </row>
    <row r="2493" spans="1:2">
      <c r="A2493" s="29"/>
      <c r="B2493" s="30"/>
    </row>
    <row r="2494" spans="1:2">
      <c r="A2494" s="29"/>
      <c r="B2494" s="30"/>
    </row>
    <row r="2495" spans="1:2">
      <c r="A2495" s="29"/>
      <c r="B2495" s="30"/>
    </row>
    <row r="2496" spans="1:2">
      <c r="A2496" s="29"/>
      <c r="B2496" s="30"/>
    </row>
    <row r="2497" spans="1:2">
      <c r="A2497" s="29"/>
      <c r="B2497" s="30"/>
    </row>
    <row r="2498" spans="1:2">
      <c r="A2498" s="29"/>
      <c r="B2498" s="30"/>
    </row>
    <row r="2499" spans="1:2">
      <c r="A2499" s="29"/>
      <c r="B2499" s="30"/>
    </row>
    <row r="2500" spans="1:2">
      <c r="A2500" s="29"/>
      <c r="B2500" s="30"/>
    </row>
    <row r="2501" spans="1:2">
      <c r="A2501" s="29"/>
      <c r="B2501" s="30"/>
    </row>
    <row r="2502" spans="1:2">
      <c r="A2502" s="29"/>
      <c r="B2502" s="30"/>
    </row>
    <row r="2503" spans="1:2">
      <c r="A2503" s="29"/>
      <c r="B2503" s="30"/>
    </row>
    <row r="2504" spans="1:2">
      <c r="A2504" s="29"/>
      <c r="B2504" s="30"/>
    </row>
    <row r="2505" spans="1:2">
      <c r="A2505" s="29"/>
      <c r="B2505" s="30"/>
    </row>
    <row r="2506" spans="1:2">
      <c r="A2506" s="29"/>
      <c r="B2506" s="30"/>
    </row>
    <row r="2507" spans="1:2">
      <c r="A2507" s="29"/>
      <c r="B2507" s="30"/>
    </row>
    <row r="2508" spans="1:2">
      <c r="A2508" s="29"/>
      <c r="B2508" s="30"/>
    </row>
    <row r="2509" spans="1:2">
      <c r="A2509" s="29"/>
      <c r="B2509" s="30"/>
    </row>
    <row r="2510" spans="1:2">
      <c r="A2510" s="29"/>
      <c r="B2510" s="30"/>
    </row>
    <row r="2511" spans="1:2">
      <c r="A2511" s="29"/>
      <c r="B2511" s="30"/>
    </row>
    <row r="2512" spans="1:2">
      <c r="A2512" s="29"/>
      <c r="B2512" s="30"/>
    </row>
    <row r="2513" spans="1:13">
      <c r="A2513" s="29"/>
      <c r="B2513" s="30"/>
    </row>
    <row r="2514" spans="1:13">
      <c r="A2514" s="29"/>
      <c r="B2514" s="30"/>
    </row>
    <row r="2515" spans="1:13">
      <c r="A2515" s="29"/>
      <c r="B2515" s="30"/>
    </row>
    <row r="2516" spans="1:13">
      <c r="A2516" s="29"/>
      <c r="B2516" s="30"/>
    </row>
    <row r="2517" spans="1:13">
      <c r="A2517" s="29"/>
      <c r="B2517" s="30"/>
    </row>
    <row r="2518" spans="1:13">
      <c r="A2518" s="29"/>
      <c r="B2518" s="30"/>
    </row>
    <row r="2519" spans="1:13">
      <c r="A2519" s="29"/>
      <c r="B2519" s="30"/>
    </row>
    <row r="2520" spans="1:13">
      <c r="A2520" s="29"/>
      <c r="B2520" s="30"/>
    </row>
    <row r="2521" spans="1:13">
      <c r="A2521" s="29"/>
      <c r="B2521" s="30"/>
    </row>
    <row r="2522" spans="1:13">
      <c r="A2522" s="29"/>
      <c r="B2522" s="30"/>
    </row>
    <row r="2523" spans="1:13">
      <c r="A2523" s="29"/>
      <c r="B2523" s="30"/>
    </row>
    <row r="2524" spans="1:13">
      <c r="A2524" s="29"/>
      <c r="B2524" s="30"/>
      <c r="M2524" s="30"/>
    </row>
    <row r="2525" spans="1:13">
      <c r="A2525" s="29"/>
      <c r="B2525" s="30"/>
    </row>
    <row r="2526" spans="1:13">
      <c r="A2526" s="29"/>
      <c r="B2526" s="30"/>
    </row>
    <row r="2527" spans="1:13">
      <c r="A2527" s="29"/>
      <c r="B2527" s="30"/>
    </row>
    <row r="2528" spans="1:13">
      <c r="A2528" s="29"/>
      <c r="B2528" s="30"/>
    </row>
    <row r="2529" spans="1:2">
      <c r="A2529" s="29"/>
      <c r="B2529" s="30"/>
    </row>
    <row r="2530" spans="1:2">
      <c r="A2530" s="29"/>
      <c r="B2530" s="30"/>
    </row>
    <row r="2531" spans="1:2">
      <c r="A2531" s="29"/>
      <c r="B2531" s="30"/>
    </row>
    <row r="2532" spans="1:2">
      <c r="A2532" s="29"/>
      <c r="B2532" s="30"/>
    </row>
    <row r="2533" spans="1:2">
      <c r="A2533" s="29"/>
      <c r="B2533" s="30"/>
    </row>
    <row r="2534" spans="1:2">
      <c r="A2534" s="29"/>
      <c r="B2534" s="30"/>
    </row>
    <row r="2535" spans="1:2">
      <c r="A2535" s="29"/>
      <c r="B2535" s="30"/>
    </row>
    <row r="2536" spans="1:2">
      <c r="A2536" s="29"/>
      <c r="B2536" s="30"/>
    </row>
    <row r="2537" spans="1:2">
      <c r="A2537" s="29"/>
      <c r="B2537" s="30"/>
    </row>
    <row r="2538" spans="1:2">
      <c r="A2538" s="29"/>
      <c r="B2538" s="30"/>
    </row>
    <row r="2539" spans="1:2">
      <c r="A2539" s="29"/>
      <c r="B2539" s="30"/>
    </row>
    <row r="2540" spans="1:2">
      <c r="A2540" s="29"/>
      <c r="B2540" s="30"/>
    </row>
    <row r="2541" spans="1:2">
      <c r="A2541" s="29"/>
      <c r="B2541" s="30"/>
    </row>
    <row r="2542" spans="1:2">
      <c r="A2542" s="29"/>
      <c r="B2542" s="30"/>
    </row>
    <row r="2543" spans="1:2">
      <c r="A2543" s="29"/>
      <c r="B2543" s="30"/>
    </row>
    <row r="2544" spans="1:2">
      <c r="A2544" s="29"/>
      <c r="B2544" s="30"/>
    </row>
    <row r="2545" spans="1:2">
      <c r="A2545" s="29"/>
      <c r="B2545" s="30"/>
    </row>
    <row r="2546" spans="1:2">
      <c r="A2546" s="29"/>
      <c r="B2546" s="30"/>
    </row>
    <row r="2547" spans="1:2">
      <c r="A2547" s="29"/>
      <c r="B2547" s="30"/>
    </row>
    <row r="2548" spans="1:2">
      <c r="A2548" s="29"/>
      <c r="B2548" s="30"/>
    </row>
    <row r="2549" spans="1:2">
      <c r="A2549" s="29"/>
      <c r="B2549" s="30"/>
    </row>
    <row r="2550" spans="1:2">
      <c r="A2550" s="29"/>
      <c r="B2550" s="30"/>
    </row>
    <row r="2551" spans="1:2">
      <c r="A2551" s="29"/>
      <c r="B2551" s="30"/>
    </row>
    <row r="2552" spans="1:2">
      <c r="A2552" s="29"/>
      <c r="B2552" s="30"/>
    </row>
    <row r="2553" spans="1:2">
      <c r="A2553" s="29"/>
      <c r="B2553" s="30"/>
    </row>
    <row r="2554" spans="1:2">
      <c r="A2554" s="29"/>
      <c r="B2554" s="30"/>
    </row>
    <row r="2555" spans="1:2">
      <c r="A2555" s="29"/>
      <c r="B2555" s="30"/>
    </row>
    <row r="2556" spans="1:2">
      <c r="A2556" s="29"/>
      <c r="B2556" s="30"/>
    </row>
    <row r="2557" spans="1:2">
      <c r="A2557" s="29"/>
      <c r="B2557" s="30"/>
    </row>
    <row r="2558" spans="1:2">
      <c r="A2558" s="29"/>
      <c r="B2558" s="30"/>
    </row>
    <row r="2559" spans="1:2">
      <c r="A2559" s="29"/>
      <c r="B2559" s="30"/>
    </row>
    <row r="2560" spans="1:2">
      <c r="A2560" s="29"/>
      <c r="B2560" s="30"/>
    </row>
    <row r="2561" spans="1:2">
      <c r="A2561" s="29"/>
      <c r="B2561" s="30"/>
    </row>
    <row r="2562" spans="1:2">
      <c r="A2562" s="29"/>
      <c r="B2562" s="30"/>
    </row>
    <row r="2563" spans="1:2">
      <c r="A2563" s="29"/>
      <c r="B2563" s="30"/>
    </row>
    <row r="2564" spans="1:2">
      <c r="A2564" s="29"/>
      <c r="B2564" s="30"/>
    </row>
    <row r="2565" spans="1:2">
      <c r="A2565" s="29"/>
      <c r="B2565" s="30"/>
    </row>
    <row r="2566" spans="1:2">
      <c r="A2566" s="29"/>
      <c r="B2566" s="30"/>
    </row>
    <row r="2567" spans="1:2">
      <c r="A2567" s="29"/>
      <c r="B2567" s="30"/>
    </row>
    <row r="2568" spans="1:2">
      <c r="A2568" s="29"/>
      <c r="B2568" s="30"/>
    </row>
    <row r="2569" spans="1:2">
      <c r="A2569" s="29"/>
      <c r="B2569" s="30"/>
    </row>
    <row r="2570" spans="1:2">
      <c r="A2570" s="29"/>
      <c r="B2570" s="30"/>
    </row>
    <row r="2571" spans="1:2">
      <c r="A2571" s="29"/>
      <c r="B2571" s="30"/>
    </row>
    <row r="2572" spans="1:2">
      <c r="A2572" s="29"/>
      <c r="B2572" s="30"/>
    </row>
    <row r="2573" spans="1:2">
      <c r="A2573" s="29"/>
      <c r="B2573" s="30"/>
    </row>
    <row r="2574" spans="1:2">
      <c r="A2574" s="29"/>
      <c r="B2574" s="30"/>
    </row>
    <row r="2575" spans="1:2">
      <c r="A2575" s="29"/>
      <c r="B2575" s="30"/>
    </row>
    <row r="2576" spans="1:2">
      <c r="A2576" s="29"/>
      <c r="B2576" s="30"/>
    </row>
    <row r="2577" spans="1:2">
      <c r="A2577" s="29"/>
      <c r="B2577" s="30"/>
    </row>
    <row r="2578" spans="1:2">
      <c r="A2578" s="29"/>
      <c r="B2578" s="30"/>
    </row>
    <row r="2579" spans="1:2">
      <c r="A2579" s="29"/>
      <c r="B2579" s="30"/>
    </row>
    <row r="2580" spans="1:2">
      <c r="A2580" s="29"/>
      <c r="B2580" s="30"/>
    </row>
    <row r="2581" spans="1:2">
      <c r="A2581" s="29"/>
      <c r="B2581" s="30"/>
    </row>
    <row r="2582" spans="1:2">
      <c r="A2582" s="29"/>
      <c r="B2582" s="30"/>
    </row>
    <row r="2583" spans="1:2">
      <c r="A2583" s="29"/>
      <c r="B2583" s="30"/>
    </row>
    <row r="2584" spans="1:2">
      <c r="A2584" s="29"/>
      <c r="B2584" s="30"/>
    </row>
    <row r="2585" spans="1:2">
      <c r="A2585" s="29"/>
      <c r="B2585" s="30"/>
    </row>
    <row r="2586" spans="1:2">
      <c r="A2586" s="29"/>
      <c r="B2586" s="30"/>
    </row>
    <row r="2587" spans="1:2">
      <c r="A2587" s="29"/>
      <c r="B2587" s="30"/>
    </row>
    <row r="2588" spans="1:2">
      <c r="A2588" s="29"/>
      <c r="B2588" s="30"/>
    </row>
    <row r="2589" spans="1:2">
      <c r="A2589" s="29"/>
      <c r="B2589" s="30"/>
    </row>
    <row r="2590" spans="1:2">
      <c r="A2590" s="29"/>
      <c r="B2590" s="30"/>
    </row>
    <row r="2591" spans="1:2">
      <c r="A2591" s="29"/>
      <c r="B2591" s="30"/>
    </row>
    <row r="2592" spans="1:2">
      <c r="A2592" s="29"/>
      <c r="B2592" s="30"/>
    </row>
    <row r="2593" spans="1:13">
      <c r="A2593" s="29"/>
      <c r="B2593" s="30"/>
    </row>
    <row r="2594" spans="1:13">
      <c r="A2594" s="29"/>
      <c r="B2594" s="30"/>
    </row>
    <row r="2595" spans="1:13">
      <c r="A2595" s="29"/>
      <c r="B2595" s="30"/>
    </row>
    <row r="2596" spans="1:13">
      <c r="A2596" s="29"/>
      <c r="B2596" s="30"/>
    </row>
    <row r="2597" spans="1:13">
      <c r="A2597" s="29"/>
      <c r="B2597" s="30"/>
      <c r="M2597" s="30"/>
    </row>
    <row r="2598" spans="1:13">
      <c r="A2598" s="29"/>
      <c r="B2598" s="30"/>
    </row>
    <row r="2599" spans="1:13">
      <c r="A2599" s="29"/>
      <c r="B2599" s="30"/>
    </row>
    <row r="2600" spans="1:13">
      <c r="A2600" s="29"/>
      <c r="B2600" s="30"/>
    </row>
    <row r="2601" spans="1:13">
      <c r="A2601" s="29"/>
      <c r="B2601" s="30"/>
    </row>
    <row r="2602" spans="1:13">
      <c r="A2602" s="29"/>
      <c r="B2602" s="30"/>
    </row>
    <row r="2603" spans="1:13">
      <c r="A2603" s="29"/>
      <c r="B2603" s="30"/>
    </row>
    <row r="2604" spans="1:13">
      <c r="A2604" s="29"/>
      <c r="B2604" s="30"/>
    </row>
    <row r="2605" spans="1:13">
      <c r="A2605" s="29"/>
      <c r="B2605" s="30"/>
    </row>
    <row r="2606" spans="1:13">
      <c r="A2606" s="29"/>
      <c r="B2606" s="30"/>
    </row>
    <row r="2607" spans="1:13">
      <c r="A2607" s="29"/>
      <c r="B2607" s="30"/>
    </row>
    <row r="2608" spans="1:13">
      <c r="A2608" s="29"/>
      <c r="B2608" s="30"/>
    </row>
    <row r="2609" spans="1:13">
      <c r="A2609" s="29"/>
      <c r="B2609" s="30"/>
    </row>
    <row r="2610" spans="1:13">
      <c r="A2610" s="29"/>
      <c r="B2610" s="30"/>
    </row>
    <row r="2611" spans="1:13">
      <c r="A2611" s="29"/>
      <c r="B2611" s="30"/>
    </row>
    <row r="2612" spans="1:13">
      <c r="A2612" s="29"/>
      <c r="B2612" s="30"/>
    </row>
    <row r="2613" spans="1:13">
      <c r="A2613" s="29"/>
      <c r="B2613" s="30"/>
    </row>
    <row r="2614" spans="1:13">
      <c r="A2614" s="29"/>
      <c r="B2614" s="30"/>
    </row>
    <row r="2615" spans="1:13">
      <c r="A2615" s="29"/>
      <c r="B2615" s="30"/>
    </row>
    <row r="2616" spans="1:13">
      <c r="A2616" s="29"/>
      <c r="B2616" s="30"/>
    </row>
    <row r="2617" spans="1:13">
      <c r="A2617" s="29"/>
      <c r="B2617" s="30"/>
      <c r="M2617" s="30"/>
    </row>
    <row r="2618" spans="1:13">
      <c r="A2618" s="29"/>
      <c r="B2618" s="30"/>
    </row>
    <row r="2619" spans="1:13">
      <c r="A2619" s="29"/>
      <c r="B2619" s="30"/>
    </row>
    <row r="2620" spans="1:13">
      <c r="A2620" s="29"/>
      <c r="B2620" s="30"/>
    </row>
    <row r="2621" spans="1:13">
      <c r="A2621" s="29"/>
      <c r="B2621" s="30"/>
    </row>
    <row r="2622" spans="1:13">
      <c r="A2622" s="29"/>
      <c r="B2622" s="30"/>
    </row>
    <row r="2623" spans="1:13">
      <c r="A2623" s="29"/>
      <c r="B2623" s="30"/>
    </row>
    <row r="2624" spans="1:13">
      <c r="A2624" s="29"/>
      <c r="B2624" s="30"/>
    </row>
    <row r="2625" spans="1:2">
      <c r="A2625" s="29"/>
      <c r="B2625" s="30"/>
    </row>
    <row r="2626" spans="1:2">
      <c r="A2626" s="29"/>
      <c r="B2626" s="30"/>
    </row>
    <row r="2627" spans="1:2">
      <c r="A2627" s="29"/>
      <c r="B2627" s="30"/>
    </row>
    <row r="2628" spans="1:2">
      <c r="A2628" s="29"/>
      <c r="B2628" s="30"/>
    </row>
    <row r="2629" spans="1:2">
      <c r="A2629" s="29"/>
      <c r="B2629" s="30"/>
    </row>
    <row r="2630" spans="1:2">
      <c r="A2630" s="29"/>
      <c r="B2630" s="30"/>
    </row>
    <row r="2631" spans="1:2">
      <c r="A2631" s="29"/>
      <c r="B2631" s="30"/>
    </row>
    <row r="2632" spans="1:2">
      <c r="A2632" s="29"/>
      <c r="B2632" s="30"/>
    </row>
    <row r="2633" spans="1:2">
      <c r="A2633" s="29"/>
      <c r="B2633" s="30"/>
    </row>
    <row r="2634" spans="1:2">
      <c r="A2634" s="29"/>
      <c r="B2634" s="30"/>
    </row>
    <row r="2635" spans="1:2">
      <c r="A2635" s="29"/>
      <c r="B2635" s="30"/>
    </row>
    <row r="2636" spans="1:2">
      <c r="A2636" s="29"/>
      <c r="B2636" s="30"/>
    </row>
    <row r="2637" spans="1:2">
      <c r="A2637" s="29"/>
      <c r="B2637" s="30"/>
    </row>
    <row r="2638" spans="1:2">
      <c r="A2638" s="29"/>
      <c r="B2638" s="30"/>
    </row>
    <row r="2639" spans="1:2">
      <c r="A2639" s="29"/>
      <c r="B2639" s="30"/>
    </row>
    <row r="2640" spans="1:2">
      <c r="A2640" s="29"/>
      <c r="B2640" s="30"/>
    </row>
    <row r="2641" spans="1:2">
      <c r="A2641" s="29"/>
      <c r="B2641" s="30"/>
    </row>
    <row r="2642" spans="1:2">
      <c r="A2642" s="29"/>
      <c r="B2642" s="30"/>
    </row>
    <row r="2643" spans="1:2">
      <c r="A2643" s="29"/>
      <c r="B2643" s="30"/>
    </row>
    <row r="2644" spans="1:2">
      <c r="A2644" s="29"/>
      <c r="B2644" s="30"/>
    </row>
    <row r="2645" spans="1:2">
      <c r="A2645" s="29"/>
      <c r="B2645" s="30"/>
    </row>
    <row r="2646" spans="1:2">
      <c r="A2646" s="29"/>
      <c r="B2646" s="30"/>
    </row>
    <row r="2647" spans="1:2">
      <c r="A2647" s="29"/>
      <c r="B2647" s="30"/>
    </row>
    <row r="2648" spans="1:2">
      <c r="A2648" s="29"/>
      <c r="B2648" s="30"/>
    </row>
    <row r="2649" spans="1:2">
      <c r="A2649" s="29"/>
      <c r="B2649" s="30"/>
    </row>
    <row r="2650" spans="1:2">
      <c r="A2650" s="29"/>
      <c r="B2650" s="30"/>
    </row>
    <row r="2651" spans="1:2">
      <c r="A2651" s="29"/>
      <c r="B2651" s="30"/>
    </row>
    <row r="2652" spans="1:2">
      <c r="A2652" s="29"/>
      <c r="B2652" s="30"/>
    </row>
    <row r="2653" spans="1:2">
      <c r="A2653" s="29"/>
      <c r="B2653" s="30"/>
    </row>
    <row r="2654" spans="1:2">
      <c r="A2654" s="29"/>
      <c r="B2654" s="30"/>
    </row>
    <row r="2655" spans="1:2">
      <c r="A2655" s="29"/>
      <c r="B2655" s="30"/>
    </row>
    <row r="2656" spans="1:2">
      <c r="A2656" s="29"/>
      <c r="B2656" s="30"/>
    </row>
    <row r="2657" spans="1:13">
      <c r="A2657" s="29"/>
      <c r="B2657" s="30"/>
    </row>
    <row r="2658" spans="1:13">
      <c r="A2658" s="29"/>
      <c r="B2658" s="30"/>
    </row>
    <row r="2659" spans="1:13">
      <c r="A2659" s="29"/>
      <c r="B2659" s="30"/>
    </row>
    <row r="2660" spans="1:13">
      <c r="A2660" s="29"/>
      <c r="B2660" s="30"/>
    </row>
    <row r="2661" spans="1:13">
      <c r="A2661" s="29"/>
      <c r="B2661" s="30"/>
    </row>
    <row r="2662" spans="1:13">
      <c r="A2662" s="29"/>
      <c r="B2662" s="30"/>
    </row>
    <row r="2663" spans="1:13">
      <c r="A2663" s="29"/>
      <c r="B2663" s="30"/>
    </row>
    <row r="2664" spans="1:13">
      <c r="A2664" s="29"/>
      <c r="B2664" s="30"/>
    </row>
    <row r="2665" spans="1:13">
      <c r="A2665" s="29"/>
      <c r="B2665" s="30"/>
    </row>
    <row r="2666" spans="1:13">
      <c r="A2666" s="29"/>
      <c r="B2666" s="30"/>
      <c r="M2666" s="30"/>
    </row>
    <row r="2667" spans="1:13">
      <c r="A2667" s="29"/>
      <c r="B2667" s="30"/>
    </row>
    <row r="2668" spans="1:13">
      <c r="A2668" s="29"/>
      <c r="B2668" s="30"/>
    </row>
    <row r="2669" spans="1:13">
      <c r="A2669" s="29"/>
      <c r="B2669" s="30"/>
    </row>
    <row r="2670" spans="1:13">
      <c r="A2670" s="29"/>
      <c r="B2670" s="30"/>
    </row>
    <row r="2671" spans="1:13">
      <c r="A2671" s="29"/>
      <c r="B2671" s="30"/>
    </row>
    <row r="2672" spans="1:13">
      <c r="A2672" s="29"/>
      <c r="B2672" s="30"/>
    </row>
    <row r="2673" spans="1:13">
      <c r="A2673" s="29"/>
      <c r="B2673" s="30"/>
    </row>
    <row r="2674" spans="1:13">
      <c r="A2674" s="29"/>
      <c r="B2674" s="30"/>
      <c r="M2674" s="30"/>
    </row>
    <row r="2675" spans="1:13">
      <c r="A2675" s="29"/>
      <c r="B2675" s="30"/>
    </row>
    <row r="2676" spans="1:13">
      <c r="A2676" s="29"/>
      <c r="B2676" s="30"/>
    </row>
    <row r="2677" spans="1:13">
      <c r="A2677" s="29"/>
      <c r="B2677" s="30"/>
    </row>
    <row r="2678" spans="1:13">
      <c r="A2678" s="29"/>
      <c r="B2678" s="30"/>
    </row>
    <row r="2679" spans="1:13">
      <c r="A2679" s="29"/>
      <c r="B2679" s="30"/>
    </row>
    <row r="2680" spans="1:13">
      <c r="A2680" s="29"/>
      <c r="B2680" s="30"/>
    </row>
    <row r="2681" spans="1:13">
      <c r="A2681" s="29"/>
      <c r="B2681" s="30"/>
    </row>
    <row r="2682" spans="1:13">
      <c r="A2682" s="29"/>
      <c r="B2682" s="30"/>
    </row>
    <row r="2683" spans="1:13">
      <c r="A2683" s="29"/>
      <c r="B2683" s="30"/>
    </row>
    <row r="2684" spans="1:13">
      <c r="A2684" s="29"/>
      <c r="B2684" s="30"/>
    </row>
    <row r="2685" spans="1:13">
      <c r="A2685" s="29"/>
      <c r="B2685" s="30"/>
    </row>
    <row r="2686" spans="1:13">
      <c r="A2686" s="29"/>
      <c r="B2686" s="30"/>
    </row>
    <row r="2687" spans="1:13">
      <c r="A2687" s="29"/>
      <c r="B2687" s="30"/>
    </row>
    <row r="2688" spans="1:13">
      <c r="A2688" s="29"/>
      <c r="B2688" s="30"/>
    </row>
    <row r="2689" spans="1:2">
      <c r="A2689" s="29"/>
      <c r="B2689" s="30"/>
    </row>
    <row r="2690" spans="1:2">
      <c r="A2690" s="29"/>
      <c r="B2690" s="30"/>
    </row>
    <row r="2691" spans="1:2">
      <c r="A2691" s="29"/>
      <c r="B2691" s="30"/>
    </row>
    <row r="2692" spans="1:2">
      <c r="A2692" s="29"/>
      <c r="B2692" s="30"/>
    </row>
    <row r="2693" spans="1:2">
      <c r="A2693" s="29"/>
      <c r="B2693" s="30"/>
    </row>
    <row r="2694" spans="1:2">
      <c r="A2694" s="29"/>
      <c r="B2694" s="30"/>
    </row>
    <row r="2695" spans="1:2">
      <c r="A2695" s="29"/>
      <c r="B2695" s="30"/>
    </row>
    <row r="2696" spans="1:2">
      <c r="A2696" s="29"/>
      <c r="B2696" s="30"/>
    </row>
    <row r="2697" spans="1:2">
      <c r="A2697" s="29"/>
      <c r="B2697" s="30"/>
    </row>
    <row r="2698" spans="1:2">
      <c r="A2698" s="29"/>
      <c r="B2698" s="30"/>
    </row>
    <row r="2699" spans="1:2">
      <c r="A2699" s="29"/>
      <c r="B2699" s="30"/>
    </row>
    <row r="2700" spans="1:2">
      <c r="A2700" s="29"/>
      <c r="B2700" s="30"/>
    </row>
    <row r="2701" spans="1:2">
      <c r="A2701" s="29"/>
      <c r="B2701" s="30"/>
    </row>
    <row r="2702" spans="1:2">
      <c r="A2702" s="29"/>
      <c r="B2702" s="30"/>
    </row>
    <row r="2703" spans="1:2">
      <c r="A2703" s="29"/>
      <c r="B2703" s="30"/>
    </row>
    <row r="2704" spans="1:2">
      <c r="A2704" s="29"/>
      <c r="B2704" s="30"/>
    </row>
    <row r="2705" spans="1:13">
      <c r="A2705" s="29"/>
      <c r="B2705" s="30"/>
    </row>
    <row r="2706" spans="1:13">
      <c r="A2706" s="29"/>
      <c r="B2706" s="30"/>
    </row>
    <row r="2707" spans="1:13">
      <c r="A2707" s="29"/>
      <c r="B2707" s="30"/>
    </row>
    <row r="2708" spans="1:13">
      <c r="A2708" s="29"/>
      <c r="B2708" s="30"/>
    </row>
    <row r="2709" spans="1:13">
      <c r="A2709" s="29"/>
      <c r="B2709" s="30"/>
    </row>
    <row r="2710" spans="1:13">
      <c r="A2710" s="29"/>
      <c r="B2710" s="30"/>
    </row>
    <row r="2711" spans="1:13">
      <c r="A2711" s="29"/>
      <c r="B2711" s="30"/>
    </row>
    <row r="2712" spans="1:13">
      <c r="A2712" s="29"/>
      <c r="B2712" s="30"/>
    </row>
    <row r="2713" spans="1:13">
      <c r="A2713" s="29"/>
      <c r="B2713" s="30"/>
    </row>
    <row r="2714" spans="1:13">
      <c r="A2714" s="29"/>
      <c r="B2714" s="30"/>
    </row>
    <row r="2715" spans="1:13">
      <c r="A2715" s="29"/>
      <c r="B2715" s="30"/>
    </row>
    <row r="2716" spans="1:13">
      <c r="A2716" s="29"/>
      <c r="B2716" s="30"/>
    </row>
    <row r="2717" spans="1:13">
      <c r="A2717" s="29"/>
      <c r="B2717" s="30"/>
    </row>
    <row r="2718" spans="1:13">
      <c r="A2718" s="29"/>
      <c r="B2718" s="30"/>
    </row>
    <row r="2719" spans="1:13">
      <c r="A2719" s="29"/>
      <c r="B2719" s="30"/>
      <c r="M2719" s="30"/>
    </row>
    <row r="2720" spans="1:13">
      <c r="A2720" s="29"/>
      <c r="B2720" s="30"/>
    </row>
    <row r="2721" spans="1:13">
      <c r="A2721" s="29"/>
      <c r="B2721" s="30"/>
    </row>
    <row r="2722" spans="1:13">
      <c r="A2722" s="29"/>
      <c r="B2722" s="30"/>
    </row>
    <row r="2723" spans="1:13">
      <c r="A2723" s="29"/>
      <c r="B2723" s="30"/>
      <c r="M2723" s="30"/>
    </row>
    <row r="2724" spans="1:13">
      <c r="A2724" s="29"/>
      <c r="B2724" s="30"/>
    </row>
    <row r="2725" spans="1:13">
      <c r="A2725" s="29"/>
      <c r="B2725" s="30"/>
    </row>
    <row r="2726" spans="1:13">
      <c r="A2726" s="29"/>
      <c r="B2726" s="30"/>
    </row>
    <row r="2727" spans="1:13">
      <c r="A2727" s="29"/>
      <c r="B2727" s="30"/>
    </row>
    <row r="2728" spans="1:13">
      <c r="A2728" s="29"/>
      <c r="B2728" s="30"/>
    </row>
    <row r="2729" spans="1:13">
      <c r="A2729" s="29"/>
      <c r="B2729" s="30"/>
    </row>
    <row r="2730" spans="1:13">
      <c r="A2730" s="29"/>
      <c r="B2730" s="30"/>
    </row>
    <row r="2731" spans="1:13">
      <c r="A2731" s="29"/>
      <c r="B2731" s="30"/>
    </row>
    <row r="2732" spans="1:13">
      <c r="A2732" s="29"/>
      <c r="B2732" s="30"/>
    </row>
    <row r="2733" spans="1:13">
      <c r="A2733" s="29"/>
      <c r="B2733" s="30"/>
    </row>
    <row r="2734" spans="1:13">
      <c r="A2734" s="29"/>
      <c r="B2734" s="30"/>
    </row>
    <row r="2735" spans="1:13">
      <c r="A2735" s="29"/>
      <c r="B2735" s="30"/>
    </row>
    <row r="2736" spans="1:13">
      <c r="A2736" s="29"/>
      <c r="B2736" s="30"/>
    </row>
    <row r="2737" spans="1:2">
      <c r="A2737" s="29"/>
      <c r="B2737" s="30"/>
    </row>
    <row r="2738" spans="1:2">
      <c r="A2738" s="29"/>
      <c r="B2738" s="30"/>
    </row>
    <row r="2739" spans="1:2">
      <c r="A2739" s="29"/>
      <c r="B2739" s="30"/>
    </row>
    <row r="2740" spans="1:2">
      <c r="A2740" s="29"/>
      <c r="B2740" s="30"/>
    </row>
    <row r="2741" spans="1:2">
      <c r="A2741" s="29"/>
      <c r="B2741" s="30"/>
    </row>
    <row r="2742" spans="1:2">
      <c r="A2742" s="29"/>
      <c r="B2742" s="30"/>
    </row>
    <row r="2743" spans="1:2">
      <c r="A2743" s="29"/>
      <c r="B2743" s="30"/>
    </row>
    <row r="2744" spans="1:2">
      <c r="A2744" s="29"/>
      <c r="B2744" s="30"/>
    </row>
    <row r="2745" spans="1:2">
      <c r="A2745" s="29"/>
      <c r="B2745" s="30"/>
    </row>
    <row r="2746" spans="1:2">
      <c r="A2746" s="29"/>
      <c r="B2746" s="30"/>
    </row>
    <row r="2747" spans="1:2">
      <c r="A2747" s="29"/>
      <c r="B2747" s="30"/>
    </row>
    <row r="2748" spans="1:2">
      <c r="A2748" s="29"/>
      <c r="B2748" s="30"/>
    </row>
    <row r="2749" spans="1:2">
      <c r="A2749" s="29"/>
      <c r="B2749" s="30"/>
    </row>
    <row r="2750" spans="1:2">
      <c r="A2750" s="29"/>
      <c r="B2750" s="30"/>
    </row>
    <row r="2751" spans="1:2">
      <c r="A2751" s="29"/>
      <c r="B2751" s="30"/>
    </row>
    <row r="2752" spans="1:2">
      <c r="A2752" s="29"/>
      <c r="B2752" s="30"/>
    </row>
    <row r="2753" spans="1:2">
      <c r="A2753" s="29"/>
      <c r="B2753" s="30"/>
    </row>
    <row r="2754" spans="1:2">
      <c r="A2754" s="29"/>
      <c r="B2754" s="30"/>
    </row>
    <row r="2755" spans="1:2">
      <c r="A2755" s="29"/>
      <c r="B2755" s="30"/>
    </row>
    <row r="2756" spans="1:2">
      <c r="A2756" s="29"/>
      <c r="B2756" s="30"/>
    </row>
    <row r="2757" spans="1:2">
      <c r="A2757" s="29"/>
      <c r="B2757" s="30"/>
    </row>
    <row r="2758" spans="1:2">
      <c r="A2758" s="29"/>
      <c r="B2758" s="30"/>
    </row>
    <row r="2759" spans="1:2">
      <c r="A2759" s="29"/>
      <c r="B2759" s="30"/>
    </row>
    <row r="2760" spans="1:2">
      <c r="A2760" s="29"/>
      <c r="B2760" s="30"/>
    </row>
    <row r="2761" spans="1:2">
      <c r="A2761" s="29"/>
      <c r="B2761" s="30"/>
    </row>
    <row r="2762" spans="1:2">
      <c r="A2762" s="29"/>
      <c r="B2762" s="30"/>
    </row>
    <row r="2763" spans="1:2">
      <c r="A2763" s="29"/>
      <c r="B2763" s="30"/>
    </row>
    <row r="2764" spans="1:2">
      <c r="A2764" s="29"/>
      <c r="B2764" s="30"/>
    </row>
    <row r="2765" spans="1:2">
      <c r="A2765" s="29"/>
      <c r="B2765" s="30"/>
    </row>
    <row r="2766" spans="1:2">
      <c r="A2766" s="29"/>
      <c r="B2766" s="30"/>
    </row>
    <row r="2767" spans="1:2">
      <c r="A2767" s="29"/>
      <c r="B2767" s="30"/>
    </row>
    <row r="2768" spans="1:2">
      <c r="A2768" s="29"/>
      <c r="B2768" s="30"/>
    </row>
    <row r="2769" spans="1:2">
      <c r="A2769" s="29"/>
      <c r="B2769" s="30"/>
    </row>
    <row r="2770" spans="1:2">
      <c r="A2770" s="29"/>
      <c r="B2770" s="30"/>
    </row>
    <row r="2771" spans="1:2">
      <c r="A2771" s="29"/>
      <c r="B2771" s="30"/>
    </row>
    <row r="2772" spans="1:2">
      <c r="A2772" s="29"/>
      <c r="B2772" s="30"/>
    </row>
    <row r="2773" spans="1:2">
      <c r="A2773" s="29"/>
      <c r="B2773" s="30"/>
    </row>
    <row r="2774" spans="1:2">
      <c r="A2774" s="29"/>
      <c r="B2774" s="30"/>
    </row>
    <row r="2775" spans="1:2">
      <c r="A2775" s="29"/>
      <c r="B2775" s="30"/>
    </row>
    <row r="2776" spans="1:2">
      <c r="A2776" s="29"/>
      <c r="B2776" s="30"/>
    </row>
    <row r="2777" spans="1:2">
      <c r="A2777" s="29"/>
      <c r="B2777" s="30"/>
    </row>
    <row r="2778" spans="1:2">
      <c r="A2778" s="29"/>
      <c r="B2778" s="30"/>
    </row>
    <row r="2779" spans="1:2">
      <c r="A2779" s="29"/>
      <c r="B2779" s="30"/>
    </row>
    <row r="2780" spans="1:2">
      <c r="A2780" s="29"/>
      <c r="B2780" s="30"/>
    </row>
    <row r="2781" spans="1:2">
      <c r="A2781" s="29"/>
      <c r="B2781" s="30"/>
    </row>
    <row r="2782" spans="1:2">
      <c r="A2782" s="29"/>
      <c r="B2782" s="30"/>
    </row>
    <row r="2783" spans="1:2">
      <c r="A2783" s="29"/>
      <c r="B2783" s="30"/>
    </row>
    <row r="2784" spans="1:2">
      <c r="A2784" s="29"/>
      <c r="B2784" s="30"/>
    </row>
    <row r="2785" spans="1:2">
      <c r="A2785" s="29"/>
      <c r="B2785" s="30"/>
    </row>
    <row r="2786" spans="1:2">
      <c r="A2786" s="29"/>
      <c r="B2786" s="30"/>
    </row>
    <row r="2787" spans="1:2">
      <c r="A2787" s="29"/>
      <c r="B2787" s="30"/>
    </row>
    <row r="2788" spans="1:2">
      <c r="A2788" s="29"/>
      <c r="B2788" s="30"/>
    </row>
    <row r="2789" spans="1:2">
      <c r="A2789" s="29"/>
      <c r="B2789" s="30"/>
    </row>
    <row r="2790" spans="1:2">
      <c r="A2790" s="29"/>
      <c r="B2790" s="30"/>
    </row>
    <row r="2791" spans="1:2">
      <c r="A2791" s="29"/>
      <c r="B2791" s="30"/>
    </row>
    <row r="2792" spans="1:2">
      <c r="A2792" s="29"/>
      <c r="B2792" s="30"/>
    </row>
    <row r="2793" spans="1:2">
      <c r="A2793" s="29"/>
      <c r="B2793" s="30"/>
    </row>
    <row r="2794" spans="1:2">
      <c r="A2794" s="29"/>
      <c r="B2794" s="30"/>
    </row>
    <row r="2795" spans="1:2">
      <c r="A2795" s="29"/>
      <c r="B2795" s="30"/>
    </row>
    <row r="2796" spans="1:2">
      <c r="A2796" s="29"/>
      <c r="B2796" s="30"/>
    </row>
    <row r="2797" spans="1:2">
      <c r="A2797" s="29"/>
      <c r="B2797" s="30"/>
    </row>
    <row r="2798" spans="1:2">
      <c r="A2798" s="29"/>
      <c r="B2798" s="30"/>
    </row>
    <row r="2799" spans="1:2">
      <c r="A2799" s="29"/>
      <c r="B2799" s="30"/>
    </row>
    <row r="2800" spans="1:2">
      <c r="A2800" s="29"/>
      <c r="B2800" s="30"/>
    </row>
    <row r="2801" spans="1:2">
      <c r="A2801" s="29"/>
      <c r="B2801" s="30"/>
    </row>
    <row r="2802" spans="1:2">
      <c r="A2802" s="29"/>
      <c r="B2802" s="30"/>
    </row>
    <row r="2803" spans="1:2">
      <c r="A2803" s="29"/>
      <c r="B2803" s="30"/>
    </row>
    <row r="2804" spans="1:2">
      <c r="A2804" s="29"/>
      <c r="B2804" s="30"/>
    </row>
    <row r="2805" spans="1:2">
      <c r="A2805" s="29"/>
      <c r="B2805" s="30"/>
    </row>
    <row r="2806" spans="1:2">
      <c r="A2806" s="29"/>
      <c r="B2806" s="30"/>
    </row>
    <row r="2807" spans="1:2">
      <c r="A2807" s="29"/>
      <c r="B2807" s="30"/>
    </row>
    <row r="2808" spans="1:2">
      <c r="A2808" s="29"/>
      <c r="B2808" s="30"/>
    </row>
    <row r="2809" spans="1:2">
      <c r="A2809" s="29"/>
      <c r="B2809" s="30"/>
    </row>
    <row r="2810" spans="1:2">
      <c r="A2810" s="29"/>
      <c r="B2810" s="30"/>
    </row>
    <row r="2811" spans="1:2">
      <c r="A2811" s="29"/>
      <c r="B2811" s="30"/>
    </row>
    <row r="2812" spans="1:2">
      <c r="A2812" s="29"/>
      <c r="B2812" s="30"/>
    </row>
    <row r="2813" spans="1:2">
      <c r="A2813" s="29"/>
      <c r="B2813" s="30"/>
    </row>
    <row r="2814" spans="1:2">
      <c r="A2814" s="29"/>
      <c r="B2814" s="30"/>
    </row>
    <row r="2815" spans="1:2">
      <c r="A2815" s="29"/>
      <c r="B2815" s="30"/>
    </row>
    <row r="2816" spans="1:2">
      <c r="A2816" s="29"/>
      <c r="B2816" s="30"/>
    </row>
    <row r="2817" spans="1:2">
      <c r="A2817" s="29"/>
      <c r="B2817" s="30"/>
    </row>
    <row r="2818" spans="1:2">
      <c r="A2818" s="29"/>
      <c r="B2818" s="30"/>
    </row>
    <row r="2819" spans="1:2">
      <c r="A2819" s="29"/>
      <c r="B2819" s="30"/>
    </row>
    <row r="2820" spans="1:2">
      <c r="A2820" s="29"/>
      <c r="B2820" s="30"/>
    </row>
    <row r="2821" spans="1:2">
      <c r="A2821" s="29"/>
      <c r="B2821" s="30"/>
    </row>
    <row r="2822" spans="1:2">
      <c r="A2822" s="29"/>
      <c r="B2822" s="30"/>
    </row>
    <row r="2823" spans="1:2">
      <c r="A2823" s="29"/>
      <c r="B2823" s="30"/>
    </row>
    <row r="2824" spans="1:2">
      <c r="A2824" s="29"/>
      <c r="B2824" s="30"/>
    </row>
    <row r="2825" spans="1:2">
      <c r="A2825" s="29"/>
      <c r="B2825" s="30"/>
    </row>
    <row r="2826" spans="1:2">
      <c r="A2826" s="29"/>
      <c r="B2826" s="30"/>
    </row>
    <row r="2827" spans="1:2">
      <c r="A2827" s="29"/>
      <c r="B2827" s="30"/>
    </row>
    <row r="2828" spans="1:2">
      <c r="A2828" s="29"/>
      <c r="B2828" s="30"/>
    </row>
    <row r="2829" spans="1:2">
      <c r="A2829" s="29"/>
      <c r="B2829" s="30"/>
    </row>
    <row r="2830" spans="1:2">
      <c r="A2830" s="29"/>
      <c r="B2830" s="30"/>
    </row>
    <row r="2831" spans="1:2">
      <c r="A2831" s="29"/>
      <c r="B2831" s="30"/>
    </row>
    <row r="2832" spans="1:2">
      <c r="A2832" s="29"/>
      <c r="B2832" s="30"/>
    </row>
    <row r="2833" spans="1:2">
      <c r="A2833" s="29"/>
      <c r="B2833" s="30"/>
    </row>
    <row r="2834" spans="1:2">
      <c r="A2834" s="29"/>
      <c r="B2834" s="30"/>
    </row>
    <row r="2835" spans="1:2">
      <c r="A2835" s="29"/>
      <c r="B2835" s="30"/>
    </row>
    <row r="2836" spans="1:2">
      <c r="A2836" s="29"/>
      <c r="B2836" s="30"/>
    </row>
    <row r="2837" spans="1:2">
      <c r="A2837" s="29"/>
      <c r="B2837" s="30"/>
    </row>
    <row r="2838" spans="1:2">
      <c r="A2838" s="29"/>
      <c r="B2838" s="30"/>
    </row>
    <row r="2839" spans="1:2">
      <c r="A2839" s="29"/>
      <c r="B2839" s="30"/>
    </row>
    <row r="2840" spans="1:2">
      <c r="A2840" s="29"/>
      <c r="B2840" s="30"/>
    </row>
    <row r="2841" spans="1:2">
      <c r="A2841" s="29"/>
      <c r="B2841" s="30"/>
    </row>
    <row r="2842" spans="1:2">
      <c r="A2842" s="29"/>
      <c r="B2842" s="30"/>
    </row>
    <row r="2843" spans="1:2">
      <c r="A2843" s="29"/>
      <c r="B2843" s="30"/>
    </row>
    <row r="2844" spans="1:2">
      <c r="A2844" s="29"/>
      <c r="B2844" s="30"/>
    </row>
    <row r="2845" spans="1:2">
      <c r="A2845" s="29"/>
      <c r="B2845" s="30"/>
    </row>
    <row r="2846" spans="1:2">
      <c r="A2846" s="29"/>
      <c r="B2846" s="30"/>
    </row>
    <row r="2847" spans="1:2">
      <c r="A2847" s="29"/>
      <c r="B2847" s="30"/>
    </row>
    <row r="2848" spans="1:2">
      <c r="A2848" s="29"/>
      <c r="B2848" s="30"/>
    </row>
    <row r="2849" spans="1:2">
      <c r="A2849" s="29"/>
      <c r="B2849" s="30"/>
    </row>
    <row r="2850" spans="1:2">
      <c r="A2850" s="29"/>
      <c r="B2850" s="30"/>
    </row>
    <row r="2851" spans="1:2">
      <c r="A2851" s="29"/>
      <c r="B2851" s="30"/>
    </row>
    <row r="2852" spans="1:2">
      <c r="A2852" s="29"/>
      <c r="B2852" s="30"/>
    </row>
    <row r="2853" spans="1:2">
      <c r="A2853" s="29"/>
      <c r="B2853" s="30"/>
    </row>
    <row r="2854" spans="1:2">
      <c r="A2854" s="29"/>
      <c r="B2854" s="30"/>
    </row>
    <row r="2855" spans="1:2">
      <c r="A2855" s="29"/>
      <c r="B2855" s="30"/>
    </row>
    <row r="2856" spans="1:2">
      <c r="A2856" s="29"/>
      <c r="B2856" s="30"/>
    </row>
    <row r="2857" spans="1:2">
      <c r="A2857" s="29"/>
      <c r="B2857" s="30"/>
    </row>
    <row r="2858" spans="1:2">
      <c r="A2858" s="29"/>
      <c r="B2858" s="30"/>
    </row>
    <row r="2859" spans="1:2">
      <c r="A2859" s="29"/>
      <c r="B2859" s="30"/>
    </row>
    <row r="2860" spans="1:2">
      <c r="A2860" s="29"/>
      <c r="B2860" s="30"/>
    </row>
    <row r="2861" spans="1:2">
      <c r="A2861" s="29"/>
      <c r="B2861" s="30"/>
    </row>
    <row r="2862" spans="1:2">
      <c r="A2862" s="29"/>
      <c r="B2862" s="30"/>
    </row>
    <row r="2863" spans="1:2">
      <c r="A2863" s="29"/>
      <c r="B2863" s="30"/>
    </row>
    <row r="2864" spans="1:2">
      <c r="A2864" s="29"/>
      <c r="B2864" s="30"/>
    </row>
    <row r="2865" spans="1:2">
      <c r="A2865" s="29"/>
      <c r="B2865" s="30"/>
    </row>
    <row r="2866" spans="1:2">
      <c r="A2866" s="29"/>
      <c r="B2866" s="30"/>
    </row>
    <row r="2867" spans="1:2">
      <c r="A2867" s="29"/>
      <c r="B2867" s="30"/>
    </row>
    <row r="2868" spans="1:2">
      <c r="A2868" s="29"/>
      <c r="B2868" s="30"/>
    </row>
    <row r="2869" spans="1:2">
      <c r="A2869" s="29"/>
      <c r="B2869" s="30"/>
    </row>
    <row r="2870" spans="1:2">
      <c r="A2870" s="29"/>
      <c r="B2870" s="30"/>
    </row>
    <row r="2871" spans="1:2">
      <c r="A2871" s="29"/>
      <c r="B2871" s="30"/>
    </row>
    <row r="2872" spans="1:2">
      <c r="A2872" s="29"/>
      <c r="B2872" s="30"/>
    </row>
    <row r="2873" spans="1:2">
      <c r="A2873" s="29"/>
      <c r="B2873" s="30"/>
    </row>
    <row r="2874" spans="1:2">
      <c r="A2874" s="29"/>
      <c r="B2874" s="30"/>
    </row>
    <row r="2875" spans="1:2">
      <c r="A2875" s="29"/>
      <c r="B2875" s="30"/>
    </row>
    <row r="2876" spans="1:2">
      <c r="A2876" s="29"/>
      <c r="B2876" s="30"/>
    </row>
    <row r="2877" spans="1:2">
      <c r="A2877" s="29"/>
      <c r="B2877" s="30"/>
    </row>
    <row r="2878" spans="1:2">
      <c r="A2878" s="29"/>
      <c r="B2878" s="30"/>
    </row>
    <row r="2879" spans="1:2">
      <c r="A2879" s="29"/>
      <c r="B2879" s="30"/>
    </row>
    <row r="2880" spans="1:2">
      <c r="A2880" s="29"/>
      <c r="B2880" s="30"/>
    </row>
    <row r="2881" spans="1:2">
      <c r="A2881" s="29"/>
      <c r="B2881" s="30"/>
    </row>
    <row r="2882" spans="1:2">
      <c r="A2882" s="29"/>
      <c r="B2882" s="30"/>
    </row>
    <row r="2883" spans="1:2">
      <c r="A2883" s="29"/>
      <c r="B2883" s="30"/>
    </row>
    <row r="2884" spans="1:2">
      <c r="A2884" s="29"/>
      <c r="B2884" s="30"/>
    </row>
    <row r="2885" spans="1:2">
      <c r="A2885" s="29"/>
      <c r="B2885" s="30"/>
    </row>
    <row r="2886" spans="1:2">
      <c r="A2886" s="29"/>
      <c r="B2886" s="30"/>
    </row>
    <row r="2887" spans="1:2">
      <c r="A2887" s="29"/>
      <c r="B2887" s="30"/>
    </row>
    <row r="2888" spans="1:2">
      <c r="A2888" s="29"/>
      <c r="B2888" s="30"/>
    </row>
    <row r="2889" spans="1:2">
      <c r="A2889" s="29"/>
      <c r="B2889" s="30"/>
    </row>
    <row r="2890" spans="1:2">
      <c r="A2890" s="29"/>
      <c r="B2890" s="30"/>
    </row>
    <row r="2891" spans="1:2">
      <c r="A2891" s="29"/>
      <c r="B2891" s="30"/>
    </row>
    <row r="2892" spans="1:2">
      <c r="A2892" s="29"/>
      <c r="B2892" s="30"/>
    </row>
    <row r="2893" spans="1:2">
      <c r="A2893" s="29"/>
      <c r="B2893" s="30"/>
    </row>
    <row r="2894" spans="1:2">
      <c r="A2894" s="29"/>
      <c r="B2894" s="30"/>
    </row>
    <row r="2895" spans="1:2">
      <c r="A2895" s="29"/>
      <c r="B2895" s="30"/>
    </row>
    <row r="2896" spans="1:2">
      <c r="A2896" s="29"/>
      <c r="B2896" s="30"/>
    </row>
    <row r="2897" spans="1:13">
      <c r="A2897" s="29"/>
      <c r="B2897" s="30"/>
    </row>
    <row r="2898" spans="1:13">
      <c r="A2898" s="29"/>
      <c r="B2898" s="30"/>
    </row>
    <row r="2899" spans="1:13">
      <c r="A2899" s="29"/>
      <c r="B2899" s="30"/>
    </row>
    <row r="2900" spans="1:13">
      <c r="A2900" s="29"/>
      <c r="B2900" s="30"/>
    </row>
    <row r="2901" spans="1:13">
      <c r="A2901" s="29"/>
      <c r="B2901" s="30"/>
    </row>
    <row r="2902" spans="1:13">
      <c r="A2902" s="29"/>
      <c r="B2902" s="30"/>
    </row>
    <row r="2903" spans="1:13">
      <c r="A2903" s="29"/>
      <c r="B2903" s="30"/>
    </row>
    <row r="2904" spans="1:13">
      <c r="A2904" s="29"/>
      <c r="B2904" s="30"/>
    </row>
    <row r="2905" spans="1:13">
      <c r="A2905" s="29"/>
      <c r="B2905" s="30"/>
    </row>
    <row r="2906" spans="1:13">
      <c r="A2906" s="29"/>
      <c r="B2906" s="30"/>
      <c r="M2906" s="30"/>
    </row>
    <row r="2907" spans="1:13">
      <c r="A2907" s="29"/>
      <c r="B2907" s="30"/>
    </row>
    <row r="2908" spans="1:13">
      <c r="A2908" s="29"/>
      <c r="B2908" s="30"/>
    </row>
    <row r="2909" spans="1:13">
      <c r="A2909" s="29"/>
      <c r="B2909" s="30"/>
    </row>
    <row r="2910" spans="1:13">
      <c r="A2910" s="29"/>
      <c r="B2910" s="30"/>
    </row>
    <row r="2911" spans="1:13">
      <c r="A2911" s="29"/>
      <c r="B2911" s="30"/>
    </row>
    <row r="2912" spans="1:13">
      <c r="A2912" s="29"/>
      <c r="B2912" s="30"/>
    </row>
    <row r="2913" spans="1:2">
      <c r="A2913" s="29"/>
      <c r="B2913" s="30"/>
    </row>
    <row r="2914" spans="1:2">
      <c r="A2914" s="29"/>
      <c r="B2914" s="30"/>
    </row>
    <row r="2915" spans="1:2">
      <c r="A2915" s="29"/>
      <c r="B2915" s="30"/>
    </row>
    <row r="2916" spans="1:2">
      <c r="A2916" s="29"/>
      <c r="B2916" s="30"/>
    </row>
    <row r="2917" spans="1:2">
      <c r="A2917" s="29"/>
      <c r="B2917" s="30"/>
    </row>
    <row r="2918" spans="1:2">
      <c r="A2918" s="29"/>
      <c r="B2918" s="30"/>
    </row>
    <row r="2919" spans="1:2">
      <c r="A2919" s="29"/>
      <c r="B2919" s="30"/>
    </row>
    <row r="2920" spans="1:2">
      <c r="A2920" s="29"/>
      <c r="B2920" s="30"/>
    </row>
    <row r="2921" spans="1:2">
      <c r="A2921" s="29"/>
      <c r="B2921" s="30"/>
    </row>
    <row r="2922" spans="1:2">
      <c r="A2922" s="29"/>
      <c r="B2922" s="30"/>
    </row>
    <row r="2923" spans="1:2">
      <c r="A2923" s="29"/>
      <c r="B2923" s="30"/>
    </row>
    <row r="2924" spans="1:2">
      <c r="A2924" s="29"/>
      <c r="B2924" s="30"/>
    </row>
    <row r="2925" spans="1:2">
      <c r="A2925" s="29"/>
      <c r="B2925" s="30"/>
    </row>
    <row r="2926" spans="1:2">
      <c r="A2926" s="29"/>
      <c r="B2926" s="30"/>
    </row>
    <row r="2927" spans="1:2">
      <c r="A2927" s="29"/>
      <c r="B2927" s="30"/>
    </row>
    <row r="2928" spans="1:2">
      <c r="A2928" s="29"/>
      <c r="B2928" s="30"/>
    </row>
    <row r="2929" spans="1:13">
      <c r="A2929" s="29"/>
      <c r="B2929" s="30"/>
    </row>
    <row r="2930" spans="1:13">
      <c r="A2930" s="29"/>
      <c r="B2930" s="30"/>
    </row>
    <row r="2931" spans="1:13">
      <c r="A2931" s="29"/>
      <c r="B2931" s="30"/>
    </row>
    <row r="2932" spans="1:13">
      <c r="A2932" s="29"/>
      <c r="B2932" s="30"/>
    </row>
    <row r="2933" spans="1:13">
      <c r="A2933" s="29"/>
      <c r="B2933" s="30"/>
    </row>
    <row r="2934" spans="1:13">
      <c r="A2934" s="29"/>
      <c r="B2934" s="30"/>
    </row>
    <row r="2935" spans="1:13">
      <c r="A2935" s="29"/>
      <c r="B2935" s="30"/>
    </row>
    <row r="2936" spans="1:13">
      <c r="A2936" s="29"/>
      <c r="B2936" s="30"/>
    </row>
    <row r="2937" spans="1:13">
      <c r="A2937" s="29"/>
      <c r="B2937" s="30"/>
    </row>
    <row r="2938" spans="1:13">
      <c r="A2938" s="29"/>
      <c r="B2938" s="30"/>
    </row>
    <row r="2939" spans="1:13">
      <c r="A2939" s="29"/>
      <c r="B2939" s="30"/>
    </row>
    <row r="2940" spans="1:13">
      <c r="A2940" s="29"/>
      <c r="B2940" s="30"/>
    </row>
    <row r="2941" spans="1:13">
      <c r="A2941" s="29"/>
      <c r="B2941" s="30"/>
    </row>
    <row r="2942" spans="1:13">
      <c r="A2942" s="29"/>
      <c r="B2942" s="30"/>
    </row>
    <row r="2943" spans="1:13">
      <c r="A2943" s="29"/>
      <c r="B2943" s="30"/>
    </row>
    <row r="2944" spans="1:13">
      <c r="A2944" s="29"/>
      <c r="B2944" s="30"/>
      <c r="M2944" s="30"/>
    </row>
    <row r="2945" spans="1:2">
      <c r="A2945" s="29"/>
      <c r="B2945" s="30"/>
    </row>
    <row r="2946" spans="1:2">
      <c r="A2946" s="29"/>
      <c r="B2946" s="30"/>
    </row>
    <row r="2947" spans="1:2">
      <c r="A2947" s="29"/>
      <c r="B2947" s="30"/>
    </row>
    <row r="2948" spans="1:2">
      <c r="A2948" s="29"/>
      <c r="B2948" s="30"/>
    </row>
    <row r="2949" spans="1:2">
      <c r="A2949" s="29"/>
      <c r="B2949" s="30"/>
    </row>
    <row r="2950" spans="1:2">
      <c r="A2950" s="29"/>
      <c r="B2950" s="30"/>
    </row>
    <row r="2951" spans="1:2">
      <c r="A2951" s="29"/>
      <c r="B2951" s="30"/>
    </row>
    <row r="2952" spans="1:2">
      <c r="A2952" s="29"/>
      <c r="B2952" s="30"/>
    </row>
    <row r="2953" spans="1:2">
      <c r="A2953" s="29"/>
      <c r="B2953" s="30"/>
    </row>
    <row r="2954" spans="1:2">
      <c r="A2954" s="29"/>
      <c r="B2954" s="30"/>
    </row>
    <row r="2955" spans="1:2">
      <c r="A2955" s="29"/>
      <c r="B2955" s="30"/>
    </row>
    <row r="2956" spans="1:2">
      <c r="A2956" s="29"/>
      <c r="B2956" s="30"/>
    </row>
    <row r="2957" spans="1:2">
      <c r="A2957" s="29"/>
      <c r="B2957" s="30"/>
    </row>
    <row r="2958" spans="1:2">
      <c r="A2958" s="29"/>
      <c r="B2958" s="30"/>
    </row>
    <row r="2959" spans="1:2">
      <c r="A2959" s="29"/>
      <c r="B2959" s="30"/>
    </row>
    <row r="2960" spans="1:2">
      <c r="A2960" s="29"/>
      <c r="B2960" s="30"/>
    </row>
    <row r="2961" spans="1:2">
      <c r="A2961" s="29"/>
      <c r="B2961" s="30"/>
    </row>
    <row r="2962" spans="1:2">
      <c r="A2962" s="29"/>
      <c r="B2962" s="30"/>
    </row>
    <row r="2963" spans="1:2">
      <c r="A2963" s="29"/>
      <c r="B2963" s="30"/>
    </row>
    <row r="2964" spans="1:2">
      <c r="A2964" s="29"/>
      <c r="B2964" s="30"/>
    </row>
    <row r="2965" spans="1:2">
      <c r="A2965" s="29"/>
      <c r="B2965" s="30"/>
    </row>
    <row r="2966" spans="1:2">
      <c r="A2966" s="29"/>
      <c r="B2966" s="30"/>
    </row>
    <row r="2967" spans="1:2">
      <c r="A2967" s="29"/>
      <c r="B2967" s="30"/>
    </row>
    <row r="2968" spans="1:2">
      <c r="A2968" s="29"/>
      <c r="B2968" s="30"/>
    </row>
    <row r="2969" spans="1:2">
      <c r="A2969" s="29"/>
      <c r="B2969" s="30"/>
    </row>
    <row r="2970" spans="1:2">
      <c r="A2970" s="29"/>
      <c r="B2970" s="30"/>
    </row>
    <row r="2971" spans="1:2">
      <c r="A2971" s="29"/>
      <c r="B2971" s="30"/>
    </row>
    <row r="2972" spans="1:2">
      <c r="A2972" s="29"/>
      <c r="B2972" s="30"/>
    </row>
    <row r="2973" spans="1:2">
      <c r="A2973" s="29"/>
      <c r="B2973" s="30"/>
    </row>
    <row r="2974" spans="1:2">
      <c r="A2974" s="29"/>
      <c r="B2974" s="30"/>
    </row>
    <row r="2975" spans="1:2">
      <c r="A2975" s="29"/>
      <c r="B2975" s="30"/>
    </row>
    <row r="2976" spans="1:2">
      <c r="A2976" s="29"/>
      <c r="B2976" s="30"/>
    </row>
    <row r="2977" spans="1:2">
      <c r="A2977" s="29"/>
      <c r="B2977" s="30"/>
    </row>
    <row r="2978" spans="1:2">
      <c r="A2978" s="29"/>
      <c r="B2978" s="30"/>
    </row>
    <row r="2979" spans="1:2">
      <c r="A2979" s="29"/>
      <c r="B2979" s="30"/>
    </row>
    <row r="2980" spans="1:2">
      <c r="A2980" s="29"/>
      <c r="B2980" s="30"/>
    </row>
    <row r="2981" spans="1:2">
      <c r="A2981" s="29"/>
      <c r="B2981" s="30"/>
    </row>
    <row r="2982" spans="1:2">
      <c r="A2982" s="29"/>
      <c r="B2982" s="30"/>
    </row>
    <row r="2983" spans="1:2">
      <c r="A2983" s="29"/>
      <c r="B2983" s="30"/>
    </row>
    <row r="2984" spans="1:2">
      <c r="A2984" s="29"/>
      <c r="B2984" s="30"/>
    </row>
    <row r="2985" spans="1:2">
      <c r="A2985" s="29"/>
      <c r="B2985" s="30"/>
    </row>
    <row r="2986" spans="1:2">
      <c r="A2986" s="29"/>
      <c r="B2986" s="30"/>
    </row>
    <row r="2987" spans="1:2">
      <c r="A2987" s="29"/>
      <c r="B2987" s="30"/>
    </row>
    <row r="2988" spans="1:2">
      <c r="A2988" s="29"/>
      <c r="B2988" s="30"/>
    </row>
    <row r="2989" spans="1:2">
      <c r="A2989" s="29"/>
      <c r="B2989" s="30"/>
    </row>
    <row r="2990" spans="1:2">
      <c r="A2990" s="29"/>
      <c r="B2990" s="30"/>
    </row>
    <row r="2991" spans="1:2">
      <c r="A2991" s="29"/>
      <c r="B2991" s="30"/>
    </row>
    <row r="2992" spans="1:2">
      <c r="A2992" s="29"/>
      <c r="B2992" s="30"/>
    </row>
    <row r="2993" spans="1:2">
      <c r="A2993" s="29"/>
      <c r="B2993" s="30"/>
    </row>
    <row r="2994" spans="1:2">
      <c r="A2994" s="29"/>
      <c r="B2994" s="30"/>
    </row>
    <row r="2995" spans="1:2">
      <c r="A2995" s="29"/>
      <c r="B2995" s="30"/>
    </row>
    <row r="2996" spans="1:2">
      <c r="A2996" s="29"/>
      <c r="B2996" s="30"/>
    </row>
    <row r="2997" spans="1:2">
      <c r="A2997" s="29"/>
      <c r="B2997" s="30"/>
    </row>
    <row r="2998" spans="1:2">
      <c r="A2998" s="29"/>
      <c r="B2998" s="30"/>
    </row>
    <row r="2999" spans="1:2">
      <c r="A2999" s="29"/>
      <c r="B2999" s="30"/>
    </row>
    <row r="3000" spans="1:2">
      <c r="A3000" s="29"/>
      <c r="B3000" s="30"/>
    </row>
    <row r="3001" spans="1:2">
      <c r="A3001" s="29"/>
      <c r="B3001" s="30"/>
    </row>
    <row r="3002" spans="1:2">
      <c r="A3002" s="29"/>
      <c r="B3002" s="30"/>
    </row>
    <row r="3003" spans="1:2">
      <c r="A3003" s="29"/>
      <c r="B3003" s="30"/>
    </row>
    <row r="3004" spans="1:2">
      <c r="A3004" s="29"/>
      <c r="B3004" s="30"/>
    </row>
    <row r="3005" spans="1:2">
      <c r="A3005" s="29"/>
      <c r="B3005" s="30"/>
    </row>
    <row r="3006" spans="1:2">
      <c r="A3006" s="29"/>
      <c r="B3006" s="30"/>
    </row>
    <row r="3007" spans="1:2">
      <c r="A3007" s="29"/>
      <c r="B3007" s="30"/>
    </row>
    <row r="3008" spans="1:2">
      <c r="A3008" s="29"/>
      <c r="B3008" s="30"/>
    </row>
    <row r="3009" spans="1:2">
      <c r="A3009" s="29"/>
      <c r="B3009" s="30"/>
    </row>
    <row r="3010" spans="1:2">
      <c r="A3010" s="29"/>
      <c r="B3010" s="30"/>
    </row>
    <row r="3011" spans="1:2">
      <c r="A3011" s="29"/>
      <c r="B3011" s="30"/>
    </row>
    <row r="3012" spans="1:2">
      <c r="A3012" s="29"/>
      <c r="B3012" s="30"/>
    </row>
    <row r="3013" spans="1:2">
      <c r="A3013" s="29"/>
      <c r="B3013" s="30"/>
    </row>
    <row r="3014" spans="1:2">
      <c r="A3014" s="29"/>
      <c r="B3014" s="30"/>
    </row>
    <row r="3015" spans="1:2">
      <c r="A3015" s="29"/>
      <c r="B3015" s="30"/>
    </row>
    <row r="3016" spans="1:2">
      <c r="A3016" s="29"/>
      <c r="B3016" s="30"/>
    </row>
    <row r="3017" spans="1:2">
      <c r="A3017" s="29"/>
      <c r="B3017" s="30"/>
    </row>
    <row r="3018" spans="1:2">
      <c r="A3018" s="29"/>
      <c r="B3018" s="30"/>
    </row>
    <row r="3019" spans="1:2">
      <c r="A3019" s="29"/>
      <c r="B3019" s="30"/>
    </row>
    <row r="3020" spans="1:2">
      <c r="A3020" s="29"/>
      <c r="B3020" s="30"/>
    </row>
    <row r="3021" spans="1:2">
      <c r="A3021" s="29"/>
      <c r="B3021" s="30"/>
    </row>
    <row r="3022" spans="1:2">
      <c r="A3022" s="29"/>
      <c r="B3022" s="30"/>
    </row>
    <row r="3023" spans="1:2">
      <c r="A3023" s="29"/>
      <c r="B3023" s="30"/>
    </row>
    <row r="3024" spans="1:2">
      <c r="A3024" s="29"/>
      <c r="B3024" s="30"/>
    </row>
    <row r="3025" spans="1:2">
      <c r="A3025" s="29"/>
      <c r="B3025" s="30"/>
    </row>
    <row r="3026" spans="1:2">
      <c r="A3026" s="29"/>
      <c r="B3026" s="30"/>
    </row>
    <row r="3027" spans="1:2">
      <c r="A3027" s="29"/>
      <c r="B3027" s="30"/>
    </row>
    <row r="3028" spans="1:2">
      <c r="A3028" s="29"/>
      <c r="B3028" s="30"/>
    </row>
    <row r="3029" spans="1:2">
      <c r="A3029" s="29"/>
      <c r="B3029" s="30"/>
    </row>
    <row r="3030" spans="1:2">
      <c r="A3030" s="29"/>
      <c r="B3030" s="30"/>
    </row>
    <row r="3031" spans="1:2">
      <c r="A3031" s="29"/>
      <c r="B3031" s="30"/>
    </row>
    <row r="3032" spans="1:2">
      <c r="A3032" s="29"/>
      <c r="B3032" s="30"/>
    </row>
    <row r="3033" spans="1:2">
      <c r="A3033" s="29"/>
      <c r="B3033" s="30"/>
    </row>
    <row r="3034" spans="1:2">
      <c r="A3034" s="29"/>
      <c r="B3034" s="30"/>
    </row>
    <row r="3035" spans="1:2">
      <c r="A3035" s="29"/>
      <c r="B3035" s="30"/>
    </row>
    <row r="3036" spans="1:2">
      <c r="A3036" s="29"/>
      <c r="B3036" s="30"/>
    </row>
    <row r="3037" spans="1:2">
      <c r="A3037" s="29"/>
      <c r="B3037" s="30"/>
    </row>
    <row r="3038" spans="1:2">
      <c r="A3038" s="29"/>
      <c r="B3038" s="30"/>
    </row>
    <row r="3039" spans="1:2">
      <c r="A3039" s="29"/>
      <c r="B3039" s="30"/>
    </row>
    <row r="3040" spans="1:2">
      <c r="A3040" s="29"/>
      <c r="B3040" s="30"/>
    </row>
    <row r="3041" spans="1:13">
      <c r="A3041" s="29"/>
      <c r="B3041" s="30"/>
    </row>
    <row r="3042" spans="1:13">
      <c r="A3042" s="29"/>
      <c r="B3042" s="30"/>
    </row>
    <row r="3043" spans="1:13">
      <c r="A3043" s="29"/>
      <c r="B3043" s="30"/>
    </row>
    <row r="3044" spans="1:13">
      <c r="A3044" s="29"/>
      <c r="B3044" s="30"/>
    </row>
    <row r="3045" spans="1:13">
      <c r="A3045" s="29"/>
      <c r="B3045" s="30"/>
    </row>
    <row r="3046" spans="1:13">
      <c r="A3046" s="29"/>
      <c r="B3046" s="30"/>
    </row>
    <row r="3047" spans="1:13">
      <c r="A3047" s="29"/>
      <c r="B3047" s="30"/>
    </row>
    <row r="3048" spans="1:13">
      <c r="A3048" s="29"/>
      <c r="B3048" s="30"/>
    </row>
    <row r="3049" spans="1:13">
      <c r="A3049" s="29"/>
      <c r="B3049" s="30"/>
    </row>
    <row r="3050" spans="1:13">
      <c r="A3050" s="29"/>
      <c r="B3050" s="30"/>
    </row>
    <row r="3051" spans="1:13">
      <c r="A3051" s="29"/>
      <c r="B3051" s="30"/>
    </row>
    <row r="3052" spans="1:13">
      <c r="A3052" s="29"/>
      <c r="B3052" s="30"/>
    </row>
    <row r="3053" spans="1:13">
      <c r="A3053" s="29"/>
      <c r="B3053" s="30"/>
    </row>
    <row r="3054" spans="1:13">
      <c r="A3054" s="29"/>
      <c r="B3054" s="30"/>
    </row>
    <row r="3055" spans="1:13">
      <c r="A3055" s="29"/>
      <c r="B3055" s="30"/>
      <c r="M3055" s="30"/>
    </row>
    <row r="3056" spans="1:13">
      <c r="A3056" s="29"/>
      <c r="B3056" s="30"/>
    </row>
    <row r="3057" spans="1:2">
      <c r="A3057" s="29"/>
      <c r="B3057" s="30"/>
    </row>
    <row r="3058" spans="1:2">
      <c r="A3058" s="29"/>
      <c r="B3058" s="30"/>
    </row>
    <row r="3059" spans="1:2">
      <c r="A3059" s="29"/>
      <c r="B3059" s="30"/>
    </row>
    <row r="3060" spans="1:2">
      <c r="A3060" s="29"/>
      <c r="B3060" s="30"/>
    </row>
    <row r="3061" spans="1:2">
      <c r="A3061" s="29"/>
      <c r="B3061" s="30"/>
    </row>
    <row r="3062" spans="1:2">
      <c r="A3062" s="29"/>
      <c r="B3062" s="30"/>
    </row>
    <row r="3063" spans="1:2">
      <c r="A3063" s="29"/>
      <c r="B3063" s="30"/>
    </row>
    <row r="3064" spans="1:2">
      <c r="A3064" s="29"/>
      <c r="B3064" s="30"/>
    </row>
    <row r="3065" spans="1:2">
      <c r="A3065" s="29"/>
      <c r="B3065" s="30"/>
    </row>
    <row r="3066" spans="1:2">
      <c r="A3066" s="29"/>
      <c r="B3066" s="30"/>
    </row>
    <row r="3067" spans="1:2">
      <c r="A3067" s="29"/>
      <c r="B3067" s="30"/>
    </row>
    <row r="3068" spans="1:2">
      <c r="A3068" s="29"/>
      <c r="B3068" s="30"/>
    </row>
    <row r="3069" spans="1:2">
      <c r="A3069" s="29"/>
      <c r="B3069" s="30"/>
    </row>
    <row r="3070" spans="1:2">
      <c r="A3070" s="29"/>
      <c r="B3070" s="30"/>
    </row>
    <row r="3071" spans="1:2">
      <c r="A3071" s="29"/>
      <c r="B3071" s="30"/>
    </row>
    <row r="3072" spans="1:2">
      <c r="A3072" s="29"/>
      <c r="B3072" s="30"/>
    </row>
    <row r="3073" spans="1:2">
      <c r="A3073" s="29"/>
      <c r="B3073" s="30"/>
    </row>
    <row r="3074" spans="1:2">
      <c r="A3074" s="29"/>
      <c r="B3074" s="30"/>
    </row>
    <row r="3075" spans="1:2">
      <c r="A3075" s="29"/>
      <c r="B3075" s="30"/>
    </row>
    <row r="3076" spans="1:2">
      <c r="A3076" s="29"/>
      <c r="B3076" s="30"/>
    </row>
    <row r="3077" spans="1:2">
      <c r="A3077" s="29"/>
      <c r="B3077" s="30"/>
    </row>
    <row r="3078" spans="1:2">
      <c r="A3078" s="29"/>
      <c r="B3078" s="30"/>
    </row>
    <row r="3079" spans="1:2">
      <c r="A3079" s="29"/>
      <c r="B3079" s="30"/>
    </row>
    <row r="3080" spans="1:2">
      <c r="A3080" s="29"/>
      <c r="B3080" s="30"/>
    </row>
    <row r="3081" spans="1:2">
      <c r="A3081" s="29"/>
      <c r="B3081" s="30"/>
    </row>
    <row r="3082" spans="1:2">
      <c r="A3082" s="29"/>
      <c r="B3082" s="30"/>
    </row>
    <row r="3083" spans="1:2">
      <c r="A3083" s="29"/>
      <c r="B3083" s="30"/>
    </row>
    <row r="3084" spans="1:2">
      <c r="A3084" s="29"/>
      <c r="B3084" s="30"/>
    </row>
    <row r="3085" spans="1:2">
      <c r="A3085" s="29"/>
      <c r="B3085" s="30"/>
    </row>
    <row r="3086" spans="1:2">
      <c r="A3086" s="29"/>
      <c r="B3086" s="30"/>
    </row>
    <row r="3087" spans="1:2">
      <c r="A3087" s="29"/>
      <c r="B3087" s="30"/>
    </row>
    <row r="3088" spans="1:2">
      <c r="A3088" s="29"/>
      <c r="B3088" s="30"/>
    </row>
    <row r="3089" spans="1:13">
      <c r="A3089" s="29"/>
      <c r="B3089" s="30"/>
    </row>
    <row r="3090" spans="1:13">
      <c r="A3090" s="29"/>
      <c r="B3090" s="30"/>
    </row>
    <row r="3091" spans="1:13">
      <c r="A3091" s="29"/>
      <c r="B3091" s="30"/>
    </row>
    <row r="3092" spans="1:13">
      <c r="A3092" s="29"/>
      <c r="B3092" s="30"/>
    </row>
    <row r="3093" spans="1:13">
      <c r="A3093" s="29"/>
      <c r="B3093" s="30"/>
    </row>
    <row r="3094" spans="1:13">
      <c r="A3094" s="29"/>
      <c r="B3094" s="30"/>
    </row>
    <row r="3095" spans="1:13">
      <c r="A3095" s="29"/>
      <c r="B3095" s="30"/>
    </row>
    <row r="3096" spans="1:13">
      <c r="A3096" s="29"/>
      <c r="B3096" s="30"/>
    </row>
    <row r="3097" spans="1:13">
      <c r="A3097" s="29"/>
      <c r="B3097" s="30"/>
    </row>
    <row r="3098" spans="1:13">
      <c r="A3098" s="29"/>
      <c r="B3098" s="30"/>
    </row>
    <row r="3099" spans="1:13">
      <c r="A3099" s="29"/>
      <c r="B3099" s="30"/>
    </row>
    <row r="3100" spans="1:13">
      <c r="A3100" s="29"/>
      <c r="B3100" s="30"/>
    </row>
    <row r="3101" spans="1:13">
      <c r="A3101" s="29"/>
      <c r="B3101" s="30"/>
    </row>
    <row r="3102" spans="1:13">
      <c r="A3102" s="29"/>
      <c r="B3102" s="30"/>
    </row>
    <row r="3103" spans="1:13">
      <c r="A3103" s="29"/>
      <c r="B3103" s="30"/>
      <c r="M3103" s="30"/>
    </row>
    <row r="3104" spans="1:13">
      <c r="A3104" s="29"/>
      <c r="B3104" s="30"/>
    </row>
    <row r="3105" spans="1:2">
      <c r="A3105" s="29"/>
      <c r="B3105" s="30"/>
    </row>
    <row r="3106" spans="1:2">
      <c r="A3106" s="29"/>
      <c r="B3106" s="30"/>
    </row>
    <row r="3107" spans="1:2">
      <c r="A3107" s="29"/>
      <c r="B3107" s="30"/>
    </row>
    <row r="3108" spans="1:2">
      <c r="A3108" s="29"/>
      <c r="B3108" s="30"/>
    </row>
    <row r="3109" spans="1:2">
      <c r="A3109" s="29"/>
      <c r="B3109" s="30"/>
    </row>
    <row r="3110" spans="1:2">
      <c r="A3110" s="29"/>
      <c r="B3110" s="30"/>
    </row>
    <row r="3111" spans="1:2">
      <c r="A3111" s="29"/>
      <c r="B3111" s="30"/>
    </row>
    <row r="3112" spans="1:2">
      <c r="A3112" s="29"/>
      <c r="B3112" s="30"/>
    </row>
    <row r="3113" spans="1:2">
      <c r="A3113" s="29"/>
      <c r="B3113" s="30"/>
    </row>
    <row r="3114" spans="1:2">
      <c r="A3114" s="29"/>
      <c r="B3114" s="30"/>
    </row>
    <row r="3115" spans="1:2">
      <c r="A3115" s="29"/>
      <c r="B3115" s="30"/>
    </row>
    <row r="3116" spans="1:2">
      <c r="A3116" s="29"/>
      <c r="B3116" s="30"/>
    </row>
    <row r="3117" spans="1:2">
      <c r="A3117" s="29"/>
      <c r="B3117" s="30"/>
    </row>
    <row r="3118" spans="1:2">
      <c r="A3118" s="29"/>
      <c r="B3118" s="30"/>
    </row>
    <row r="3119" spans="1:2">
      <c r="A3119" s="29"/>
      <c r="B3119" s="30"/>
    </row>
    <row r="3120" spans="1:2">
      <c r="A3120" s="29"/>
      <c r="B3120" s="30"/>
    </row>
    <row r="3121" spans="1:2">
      <c r="A3121" s="29"/>
      <c r="B3121" s="30"/>
    </row>
    <row r="3122" spans="1:2">
      <c r="A3122" s="29"/>
      <c r="B3122" s="30"/>
    </row>
    <row r="3123" spans="1:2">
      <c r="A3123" s="29"/>
      <c r="B3123" s="30"/>
    </row>
    <row r="3124" spans="1:2">
      <c r="A3124" s="29"/>
      <c r="B3124" s="30"/>
    </row>
    <row r="3125" spans="1:2">
      <c r="A3125" s="29"/>
      <c r="B3125" s="30"/>
    </row>
    <row r="3126" spans="1:2">
      <c r="A3126" s="29"/>
      <c r="B3126" s="30"/>
    </row>
    <row r="3127" spans="1:2">
      <c r="A3127" s="29"/>
      <c r="B3127" s="30"/>
    </row>
    <row r="3128" spans="1:2">
      <c r="A3128" s="29"/>
      <c r="B3128" s="30"/>
    </row>
    <row r="3129" spans="1:2">
      <c r="A3129" s="29"/>
      <c r="B3129" s="30"/>
    </row>
    <row r="3130" spans="1:2">
      <c r="A3130" s="29"/>
      <c r="B3130" s="30"/>
    </row>
    <row r="3131" spans="1:2">
      <c r="A3131" s="29"/>
      <c r="B3131" s="30"/>
    </row>
    <row r="3132" spans="1:2">
      <c r="A3132" s="29"/>
      <c r="B3132" s="30"/>
    </row>
    <row r="3133" spans="1:2">
      <c r="A3133" s="29"/>
      <c r="B3133" s="30"/>
    </row>
    <row r="3134" spans="1:2">
      <c r="A3134" s="29"/>
      <c r="B3134" s="30"/>
    </row>
    <row r="3135" spans="1:2">
      <c r="A3135" s="29"/>
      <c r="B3135" s="30"/>
    </row>
    <row r="3136" spans="1:2">
      <c r="A3136" s="29"/>
      <c r="B3136" s="30"/>
    </row>
    <row r="3137" spans="1:13">
      <c r="A3137" s="29"/>
      <c r="B3137" s="30"/>
    </row>
    <row r="3138" spans="1:13">
      <c r="A3138" s="29"/>
      <c r="B3138" s="30"/>
    </row>
    <row r="3139" spans="1:13">
      <c r="A3139" s="29"/>
      <c r="B3139" s="30"/>
    </row>
    <row r="3140" spans="1:13">
      <c r="A3140" s="29"/>
      <c r="B3140" s="30"/>
    </row>
    <row r="3141" spans="1:13">
      <c r="A3141" s="29"/>
      <c r="B3141" s="30"/>
    </row>
    <row r="3142" spans="1:13">
      <c r="A3142" s="29"/>
      <c r="B3142" s="30"/>
      <c r="M3142" s="30"/>
    </row>
    <row r="3143" spans="1:13">
      <c r="A3143" s="29"/>
      <c r="B3143" s="30"/>
    </row>
    <row r="3144" spans="1:13">
      <c r="A3144" s="29"/>
      <c r="B3144" s="30"/>
    </row>
    <row r="3145" spans="1:13">
      <c r="A3145" s="29"/>
      <c r="B3145" s="30"/>
    </row>
    <row r="3146" spans="1:13">
      <c r="A3146" s="29"/>
      <c r="B3146" s="30"/>
    </row>
    <row r="3147" spans="1:13">
      <c r="A3147" s="29"/>
      <c r="B3147" s="30"/>
    </row>
    <row r="3148" spans="1:13">
      <c r="A3148" s="29"/>
      <c r="B3148" s="30"/>
    </row>
    <row r="3149" spans="1:13">
      <c r="A3149" s="29"/>
      <c r="B3149" s="30"/>
    </row>
    <row r="3150" spans="1:13">
      <c r="A3150" s="29"/>
      <c r="B3150" s="30"/>
    </row>
    <row r="3151" spans="1:13">
      <c r="A3151" s="29"/>
      <c r="B3151" s="30"/>
    </row>
    <row r="3152" spans="1:13">
      <c r="A3152" s="29"/>
      <c r="B3152" s="30"/>
      <c r="M3152" s="30"/>
    </row>
    <row r="3153" spans="1:2">
      <c r="A3153" s="29"/>
      <c r="B3153" s="30"/>
    </row>
    <row r="3154" spans="1:2">
      <c r="A3154" s="29"/>
      <c r="B3154" s="30"/>
    </row>
    <row r="3155" spans="1:2">
      <c r="A3155" s="29"/>
      <c r="B3155" s="30"/>
    </row>
    <row r="3156" spans="1:2">
      <c r="A3156" s="29"/>
      <c r="B3156" s="30"/>
    </row>
    <row r="3157" spans="1:2">
      <c r="A3157" s="29"/>
      <c r="B3157" s="30"/>
    </row>
    <row r="3158" spans="1:2">
      <c r="A3158" s="29"/>
      <c r="B3158" s="30"/>
    </row>
    <row r="3159" spans="1:2">
      <c r="A3159" s="29"/>
      <c r="B3159" s="30"/>
    </row>
    <row r="3160" spans="1:2">
      <c r="A3160" s="29"/>
      <c r="B3160" s="30"/>
    </row>
    <row r="3161" spans="1:2">
      <c r="A3161" s="29"/>
      <c r="B3161" s="30"/>
    </row>
    <row r="3162" spans="1:2">
      <c r="A3162" s="29"/>
      <c r="B3162" s="30"/>
    </row>
    <row r="3163" spans="1:2">
      <c r="A3163" s="29"/>
      <c r="B3163" s="30"/>
    </row>
    <row r="3164" spans="1:2">
      <c r="A3164" s="29"/>
      <c r="B3164" s="30"/>
    </row>
    <row r="3165" spans="1:2">
      <c r="A3165" s="29"/>
      <c r="B3165" s="30"/>
    </row>
    <row r="3166" spans="1:2">
      <c r="A3166" s="29"/>
      <c r="B3166" s="30"/>
    </row>
    <row r="3167" spans="1:2">
      <c r="A3167" s="29"/>
      <c r="B3167" s="30"/>
    </row>
    <row r="3168" spans="1:2">
      <c r="A3168" s="29"/>
      <c r="B3168" s="30"/>
    </row>
    <row r="3169" spans="1:2">
      <c r="A3169" s="29"/>
      <c r="B3169" s="30"/>
    </row>
    <row r="3170" spans="1:2">
      <c r="A3170" s="29"/>
      <c r="B3170" s="30"/>
    </row>
    <row r="3171" spans="1:2">
      <c r="A3171" s="29"/>
      <c r="B3171" s="30"/>
    </row>
    <row r="3172" spans="1:2">
      <c r="A3172" s="29"/>
      <c r="B3172" s="30"/>
    </row>
    <row r="3173" spans="1:2">
      <c r="A3173" s="29"/>
      <c r="B3173" s="30"/>
    </row>
    <row r="3174" spans="1:2">
      <c r="A3174" s="29"/>
      <c r="B3174" s="30"/>
    </row>
    <row r="3175" spans="1:2">
      <c r="A3175" s="29"/>
      <c r="B3175" s="30"/>
    </row>
    <row r="3176" spans="1:2">
      <c r="A3176" s="29"/>
      <c r="B3176" s="30"/>
    </row>
    <row r="3177" spans="1:2">
      <c r="A3177" s="29"/>
      <c r="B3177" s="30"/>
    </row>
    <row r="3178" spans="1:2">
      <c r="A3178" s="29"/>
      <c r="B3178" s="30"/>
    </row>
    <row r="3179" spans="1:2">
      <c r="A3179" s="29"/>
      <c r="B3179" s="30"/>
    </row>
    <row r="3180" spans="1:2">
      <c r="A3180" s="29"/>
      <c r="B3180" s="30"/>
    </row>
    <row r="3181" spans="1:2">
      <c r="A3181" s="29"/>
      <c r="B3181" s="30"/>
    </row>
    <row r="3182" spans="1:2">
      <c r="A3182" s="29"/>
      <c r="B3182" s="30"/>
    </row>
    <row r="3183" spans="1:2">
      <c r="A3183" s="29"/>
      <c r="B3183" s="30"/>
    </row>
    <row r="3184" spans="1:2">
      <c r="A3184" s="29"/>
      <c r="B3184" s="30"/>
    </row>
    <row r="3185" spans="1:2">
      <c r="A3185" s="29"/>
      <c r="B3185" s="30"/>
    </row>
    <row r="3186" spans="1:2">
      <c r="A3186" s="29"/>
      <c r="B3186" s="30"/>
    </row>
    <row r="3187" spans="1:2">
      <c r="A3187" s="29"/>
      <c r="B3187" s="30"/>
    </row>
    <row r="3188" spans="1:2">
      <c r="A3188" s="29"/>
      <c r="B3188" s="30"/>
    </row>
    <row r="3189" spans="1:2">
      <c r="A3189" s="29"/>
      <c r="B3189" s="30"/>
    </row>
    <row r="3190" spans="1:2">
      <c r="A3190" s="29"/>
      <c r="B3190" s="30"/>
    </row>
    <row r="3191" spans="1:2">
      <c r="A3191" s="29"/>
      <c r="B3191" s="30"/>
    </row>
    <row r="3192" spans="1:2">
      <c r="A3192" s="29"/>
      <c r="B3192" s="30"/>
    </row>
    <row r="3193" spans="1:2">
      <c r="A3193" s="29"/>
      <c r="B3193" s="30"/>
    </row>
    <row r="3194" spans="1:2">
      <c r="A3194" s="29"/>
      <c r="B3194" s="30"/>
    </row>
    <row r="3195" spans="1:2">
      <c r="A3195" s="29"/>
      <c r="B3195" s="30"/>
    </row>
    <row r="3196" spans="1:2">
      <c r="A3196" s="29"/>
      <c r="B3196" s="30"/>
    </row>
    <row r="3197" spans="1:2">
      <c r="A3197" s="29"/>
      <c r="B3197" s="30"/>
    </row>
    <row r="3198" spans="1:2">
      <c r="A3198" s="29"/>
      <c r="B3198" s="30"/>
    </row>
    <row r="3199" spans="1:2">
      <c r="A3199" s="29"/>
      <c r="B3199" s="30"/>
    </row>
    <row r="3200" spans="1:2">
      <c r="A3200" s="29"/>
      <c r="B3200" s="30"/>
    </row>
    <row r="3201" spans="1:2">
      <c r="A3201" s="29"/>
      <c r="B3201" s="30"/>
    </row>
    <row r="3202" spans="1:2">
      <c r="A3202" s="29"/>
      <c r="B3202" s="30"/>
    </row>
    <row r="3203" spans="1:2">
      <c r="A3203" s="29"/>
      <c r="B3203" s="30"/>
    </row>
    <row r="3204" spans="1:2">
      <c r="A3204" s="29"/>
      <c r="B3204" s="30"/>
    </row>
    <row r="3205" spans="1:2">
      <c r="A3205" s="29"/>
      <c r="B3205" s="30"/>
    </row>
    <row r="3206" spans="1:2">
      <c r="A3206" s="29"/>
      <c r="B3206" s="30"/>
    </row>
    <row r="3207" spans="1:2">
      <c r="A3207" s="29"/>
      <c r="B3207" s="30"/>
    </row>
    <row r="3208" spans="1:2">
      <c r="A3208" s="29"/>
      <c r="B3208" s="30"/>
    </row>
    <row r="3209" spans="1:2">
      <c r="A3209" s="29"/>
      <c r="B3209" s="30"/>
    </row>
    <row r="3210" spans="1:2">
      <c r="A3210" s="29"/>
      <c r="B3210" s="30"/>
    </row>
    <row r="3211" spans="1:2">
      <c r="A3211" s="29"/>
      <c r="B3211" s="30"/>
    </row>
    <row r="3212" spans="1:2">
      <c r="A3212" s="29"/>
      <c r="B3212" s="30"/>
    </row>
    <row r="3213" spans="1:2">
      <c r="A3213" s="29"/>
      <c r="B3213" s="30"/>
    </row>
    <row r="3214" spans="1:2">
      <c r="A3214" s="29"/>
      <c r="B3214" s="30"/>
    </row>
    <row r="3215" spans="1:2">
      <c r="A3215" s="29"/>
      <c r="B3215" s="30"/>
    </row>
    <row r="3216" spans="1:2">
      <c r="A3216" s="29"/>
      <c r="B3216" s="30"/>
    </row>
    <row r="3217" spans="1:13">
      <c r="A3217" s="29"/>
      <c r="B3217" s="30"/>
    </row>
    <row r="3218" spans="1:13">
      <c r="A3218" s="29"/>
      <c r="B3218" s="30"/>
    </row>
    <row r="3219" spans="1:13">
      <c r="A3219" s="29"/>
      <c r="B3219" s="30"/>
    </row>
    <row r="3220" spans="1:13">
      <c r="A3220" s="29"/>
      <c r="B3220" s="30"/>
      <c r="M3220" s="30"/>
    </row>
    <row r="3221" spans="1:13">
      <c r="A3221" s="29"/>
      <c r="B3221" s="30"/>
    </row>
    <row r="3222" spans="1:13">
      <c r="A3222" s="29"/>
      <c r="B3222" s="30"/>
    </row>
    <row r="3223" spans="1:13">
      <c r="A3223" s="29"/>
      <c r="B3223" s="30"/>
    </row>
    <row r="3224" spans="1:13">
      <c r="A3224" s="29"/>
      <c r="B3224" s="30"/>
    </row>
    <row r="3225" spans="1:13">
      <c r="A3225" s="29"/>
      <c r="B3225" s="30"/>
    </row>
    <row r="3226" spans="1:13">
      <c r="A3226" s="29"/>
      <c r="B3226" s="30"/>
    </row>
    <row r="3227" spans="1:13">
      <c r="A3227" s="29"/>
      <c r="B3227" s="30"/>
    </row>
    <row r="3228" spans="1:13">
      <c r="A3228" s="29"/>
      <c r="B3228" s="30"/>
    </row>
    <row r="3229" spans="1:13">
      <c r="A3229" s="29"/>
      <c r="B3229" s="30"/>
    </row>
    <row r="3230" spans="1:13">
      <c r="A3230" s="29"/>
      <c r="B3230" s="30"/>
    </row>
    <row r="3231" spans="1:13">
      <c r="A3231" s="29"/>
      <c r="B3231" s="30"/>
    </row>
    <row r="3232" spans="1:13">
      <c r="A3232" s="29"/>
      <c r="B3232" s="30"/>
    </row>
    <row r="3233" spans="1:2">
      <c r="A3233" s="29"/>
      <c r="B3233" s="30"/>
    </row>
    <row r="3234" spans="1:2">
      <c r="A3234" s="29"/>
      <c r="B3234" s="30"/>
    </row>
    <row r="3235" spans="1:2">
      <c r="A3235" s="29"/>
      <c r="B3235" s="30"/>
    </row>
    <row r="3236" spans="1:2">
      <c r="A3236" s="29"/>
      <c r="B3236" s="30"/>
    </row>
    <row r="3237" spans="1:2">
      <c r="A3237" s="29"/>
      <c r="B3237" s="30"/>
    </row>
    <row r="3238" spans="1:2">
      <c r="A3238" s="29"/>
      <c r="B3238" s="30"/>
    </row>
    <row r="3239" spans="1:2">
      <c r="A3239" s="29"/>
      <c r="B3239" s="30"/>
    </row>
    <row r="3240" spans="1:2">
      <c r="A3240" s="29"/>
      <c r="B3240" s="30"/>
    </row>
    <row r="3241" spans="1:2">
      <c r="A3241" s="29"/>
      <c r="B3241" s="30"/>
    </row>
    <row r="3242" spans="1:2">
      <c r="A3242" s="29"/>
      <c r="B3242" s="30"/>
    </row>
    <row r="3243" spans="1:2">
      <c r="A3243" s="29"/>
      <c r="B3243" s="30"/>
    </row>
    <row r="3244" spans="1:2">
      <c r="A3244" s="29"/>
      <c r="B3244" s="30"/>
    </row>
    <row r="3245" spans="1:2">
      <c r="A3245" s="29"/>
      <c r="B3245" s="30"/>
    </row>
    <row r="3246" spans="1:2">
      <c r="A3246" s="29"/>
      <c r="B3246" s="30"/>
    </row>
    <row r="3247" spans="1:2">
      <c r="A3247" s="29"/>
      <c r="B3247" s="30"/>
    </row>
    <row r="3248" spans="1:2">
      <c r="A3248" s="29"/>
      <c r="B3248" s="30"/>
    </row>
    <row r="3249" spans="1:2">
      <c r="A3249" s="29"/>
      <c r="B3249" s="30"/>
    </row>
    <row r="3250" spans="1:2">
      <c r="A3250" s="29"/>
      <c r="B3250" s="30"/>
    </row>
    <row r="3251" spans="1:2">
      <c r="A3251" s="29"/>
      <c r="B3251" s="30"/>
    </row>
    <row r="3252" spans="1:2">
      <c r="A3252" s="29"/>
      <c r="B3252" s="30"/>
    </row>
    <row r="3253" spans="1:2">
      <c r="A3253" s="29"/>
      <c r="B3253" s="30"/>
    </row>
    <row r="3254" spans="1:2">
      <c r="A3254" s="29"/>
      <c r="B3254" s="30"/>
    </row>
    <row r="3255" spans="1:2">
      <c r="A3255" s="29"/>
      <c r="B3255" s="30"/>
    </row>
    <row r="3256" spans="1:2">
      <c r="A3256" s="29"/>
      <c r="B3256" s="30"/>
    </row>
    <row r="3257" spans="1:2">
      <c r="A3257" s="29"/>
      <c r="B3257" s="30"/>
    </row>
    <row r="3258" spans="1:2">
      <c r="A3258" s="29"/>
      <c r="B3258" s="30"/>
    </row>
    <row r="3259" spans="1:2">
      <c r="A3259" s="29"/>
      <c r="B3259" s="30"/>
    </row>
    <row r="3260" spans="1:2">
      <c r="A3260" s="29"/>
      <c r="B3260" s="30"/>
    </row>
    <row r="3261" spans="1:2">
      <c r="A3261" s="29"/>
      <c r="B3261" s="30"/>
    </row>
    <row r="3262" spans="1:2">
      <c r="A3262" s="29"/>
      <c r="B3262" s="30"/>
    </row>
    <row r="3263" spans="1:2">
      <c r="A3263" s="29"/>
      <c r="B3263" s="30"/>
    </row>
    <row r="3264" spans="1:2">
      <c r="A3264" s="29"/>
      <c r="B3264" s="30"/>
    </row>
    <row r="3265" spans="1:2">
      <c r="A3265" s="29"/>
      <c r="B3265" s="30"/>
    </row>
    <row r="3266" spans="1:2">
      <c r="A3266" s="29"/>
      <c r="B3266" s="30"/>
    </row>
    <row r="3267" spans="1:2">
      <c r="A3267" s="29"/>
      <c r="B3267" s="30"/>
    </row>
    <row r="3268" spans="1:2">
      <c r="A3268" s="29"/>
      <c r="B3268" s="30"/>
    </row>
    <row r="3269" spans="1:2">
      <c r="A3269" s="29"/>
      <c r="B3269" s="30"/>
    </row>
    <row r="3270" spans="1:2">
      <c r="A3270" s="29"/>
      <c r="B3270" s="30"/>
    </row>
    <row r="3271" spans="1:2">
      <c r="A3271" s="29"/>
      <c r="B3271" s="30"/>
    </row>
    <row r="3272" spans="1:2">
      <c r="A3272" s="29"/>
      <c r="B3272" s="30"/>
    </row>
    <row r="3273" spans="1:2">
      <c r="A3273" s="29"/>
      <c r="B3273" s="30"/>
    </row>
    <row r="3274" spans="1:2">
      <c r="A3274" s="29"/>
      <c r="B3274" s="30"/>
    </row>
    <row r="3275" spans="1:2">
      <c r="A3275" s="29"/>
      <c r="B3275" s="30"/>
    </row>
    <row r="3276" spans="1:2">
      <c r="A3276" s="29"/>
      <c r="B3276" s="30"/>
    </row>
    <row r="3277" spans="1:2">
      <c r="A3277" s="29"/>
      <c r="B3277" s="30"/>
    </row>
    <row r="3278" spans="1:2">
      <c r="A3278" s="29"/>
      <c r="B3278" s="30"/>
    </row>
    <row r="3279" spans="1:2">
      <c r="A3279" s="29"/>
      <c r="B3279" s="30"/>
    </row>
    <row r="3280" spans="1:2">
      <c r="A3280" s="29"/>
      <c r="B3280" s="30"/>
    </row>
    <row r="3281" spans="1:2">
      <c r="A3281" s="29"/>
      <c r="B3281" s="30"/>
    </row>
    <row r="3282" spans="1:2">
      <c r="A3282" s="29"/>
      <c r="B3282" s="30"/>
    </row>
    <row r="3283" spans="1:2">
      <c r="A3283" s="29"/>
      <c r="B3283" s="30"/>
    </row>
    <row r="3284" spans="1:2">
      <c r="A3284" s="29"/>
      <c r="B3284" s="30"/>
    </row>
    <row r="3285" spans="1:2">
      <c r="A3285" s="29"/>
      <c r="B3285" s="30"/>
    </row>
    <row r="3286" spans="1:2">
      <c r="A3286" s="29"/>
      <c r="B3286" s="30"/>
    </row>
    <row r="3287" spans="1:2">
      <c r="A3287" s="29"/>
      <c r="B3287" s="30"/>
    </row>
    <row r="3288" spans="1:2">
      <c r="A3288" s="29"/>
      <c r="B3288" s="30"/>
    </row>
    <row r="3289" spans="1:2">
      <c r="A3289" s="29"/>
      <c r="B3289" s="30"/>
    </row>
    <row r="3290" spans="1:2">
      <c r="A3290" s="29"/>
      <c r="B3290" s="30"/>
    </row>
    <row r="3291" spans="1:2">
      <c r="A3291" s="29"/>
      <c r="B3291" s="30"/>
    </row>
    <row r="3292" spans="1:2">
      <c r="A3292" s="29"/>
      <c r="B3292" s="30"/>
    </row>
    <row r="3293" spans="1:2">
      <c r="A3293" s="29"/>
      <c r="B3293" s="30"/>
    </row>
    <row r="3294" spans="1:2">
      <c r="A3294" s="29"/>
      <c r="B3294" s="30"/>
    </row>
    <row r="3295" spans="1:2">
      <c r="A3295" s="29"/>
      <c r="B3295" s="30"/>
    </row>
    <row r="3296" spans="1:2">
      <c r="A3296" s="29"/>
      <c r="B3296" s="30"/>
    </row>
    <row r="3297" spans="1:2">
      <c r="A3297" s="29"/>
      <c r="B3297" s="30"/>
    </row>
    <row r="3298" spans="1:2">
      <c r="A3298" s="29"/>
      <c r="B3298" s="30"/>
    </row>
    <row r="3299" spans="1:2">
      <c r="A3299" s="29"/>
      <c r="B3299" s="30"/>
    </row>
    <row r="3300" spans="1:2">
      <c r="A3300" s="29"/>
      <c r="B3300" s="30"/>
    </row>
    <row r="3301" spans="1:2">
      <c r="A3301" s="29"/>
      <c r="B3301" s="30"/>
    </row>
    <row r="3302" spans="1:2">
      <c r="A3302" s="29"/>
      <c r="B3302" s="30"/>
    </row>
    <row r="3303" spans="1:2">
      <c r="A3303" s="29"/>
      <c r="B3303" s="30"/>
    </row>
    <row r="3304" spans="1:2">
      <c r="A3304" s="29"/>
      <c r="B3304" s="30"/>
    </row>
    <row r="3305" spans="1:2">
      <c r="A3305" s="29"/>
      <c r="B3305" s="30"/>
    </row>
    <row r="3306" spans="1:2">
      <c r="A3306" s="29"/>
      <c r="B3306" s="30"/>
    </row>
    <row r="3307" spans="1:2">
      <c r="A3307" s="29"/>
      <c r="B3307" s="30"/>
    </row>
    <row r="3308" spans="1:2">
      <c r="A3308" s="29"/>
      <c r="B3308" s="30"/>
    </row>
    <row r="3309" spans="1:2">
      <c r="A3309" s="29"/>
      <c r="B3309" s="30"/>
    </row>
    <row r="3310" spans="1:2">
      <c r="A3310" s="29"/>
      <c r="B3310" s="30"/>
    </row>
    <row r="3311" spans="1:2">
      <c r="A3311" s="29"/>
      <c r="B3311" s="30"/>
    </row>
    <row r="3312" spans="1:2">
      <c r="A3312" s="29"/>
      <c r="B3312" s="30"/>
    </row>
    <row r="3313" spans="1:2">
      <c r="A3313" s="29"/>
      <c r="B3313" s="30"/>
    </row>
    <row r="3314" spans="1:2">
      <c r="A3314" s="29"/>
      <c r="B3314" s="30"/>
    </row>
    <row r="3315" spans="1:2">
      <c r="A3315" s="29"/>
      <c r="B3315" s="30"/>
    </row>
    <row r="3316" spans="1:2">
      <c r="A3316" s="29"/>
      <c r="B3316" s="30"/>
    </row>
    <row r="3317" spans="1:2">
      <c r="A3317" s="29"/>
      <c r="B3317" s="30"/>
    </row>
    <row r="3318" spans="1:2">
      <c r="A3318" s="29"/>
      <c r="B3318" s="30"/>
    </row>
    <row r="3319" spans="1:2">
      <c r="A3319" s="29"/>
      <c r="B3319" s="30"/>
    </row>
    <row r="3320" spans="1:2">
      <c r="A3320" s="29"/>
      <c r="B3320" s="30"/>
    </row>
    <row r="3321" spans="1:2">
      <c r="A3321" s="29"/>
      <c r="B3321" s="30"/>
    </row>
    <row r="3322" spans="1:2">
      <c r="A3322" s="29"/>
      <c r="B3322" s="30"/>
    </row>
    <row r="3323" spans="1:2">
      <c r="A3323" s="29"/>
      <c r="B3323" s="30"/>
    </row>
    <row r="3324" spans="1:2">
      <c r="A3324" s="29"/>
      <c r="B3324" s="30"/>
    </row>
    <row r="3325" spans="1:2">
      <c r="A3325" s="29"/>
      <c r="B3325" s="30"/>
    </row>
    <row r="3326" spans="1:2">
      <c r="A3326" s="29"/>
      <c r="B3326" s="30"/>
    </row>
    <row r="3327" spans="1:2">
      <c r="A3327" s="29"/>
      <c r="B3327" s="30"/>
    </row>
    <row r="3328" spans="1:2">
      <c r="A3328" s="29"/>
      <c r="B3328" s="30"/>
    </row>
    <row r="3329" spans="1:2">
      <c r="A3329" s="29"/>
      <c r="B3329" s="30"/>
    </row>
    <row r="3330" spans="1:2">
      <c r="A3330" s="29"/>
      <c r="B3330" s="30"/>
    </row>
    <row r="3331" spans="1:2">
      <c r="A3331" s="29"/>
      <c r="B3331" s="30"/>
    </row>
    <row r="3332" spans="1:2">
      <c r="A3332" s="29"/>
      <c r="B3332" s="30"/>
    </row>
    <row r="3333" spans="1:2">
      <c r="A3333" s="29"/>
      <c r="B3333" s="30"/>
    </row>
    <row r="3334" spans="1:2">
      <c r="A3334" s="29"/>
      <c r="B3334" s="30"/>
    </row>
    <row r="3335" spans="1:2">
      <c r="A3335" s="29"/>
      <c r="B3335" s="30"/>
    </row>
    <row r="3336" spans="1:2">
      <c r="A3336" s="29"/>
      <c r="B3336" s="30"/>
    </row>
    <row r="3337" spans="1:2">
      <c r="A3337" s="29"/>
      <c r="B3337" s="30"/>
    </row>
    <row r="3338" spans="1:2">
      <c r="A3338" s="29"/>
      <c r="B3338" s="30"/>
    </row>
    <row r="3339" spans="1:2">
      <c r="A3339" s="29"/>
      <c r="B3339" s="30"/>
    </row>
    <row r="3340" spans="1:2">
      <c r="A3340" s="29"/>
      <c r="B3340" s="30"/>
    </row>
    <row r="3341" spans="1:2">
      <c r="A3341" s="29"/>
      <c r="B3341" s="30"/>
    </row>
    <row r="3342" spans="1:2">
      <c r="A3342" s="29"/>
      <c r="B3342" s="30"/>
    </row>
    <row r="3343" spans="1:2">
      <c r="A3343" s="29"/>
      <c r="B3343" s="30"/>
    </row>
    <row r="3344" spans="1:2">
      <c r="A3344" s="29"/>
      <c r="B3344" s="30"/>
    </row>
    <row r="3345" spans="1:13">
      <c r="A3345" s="29"/>
      <c r="B3345" s="30"/>
    </row>
    <row r="3346" spans="1:13">
      <c r="A3346" s="29"/>
      <c r="B3346" s="30"/>
    </row>
    <row r="3347" spans="1:13">
      <c r="A3347" s="29"/>
      <c r="B3347" s="30"/>
    </row>
    <row r="3348" spans="1:13">
      <c r="A3348" s="29"/>
      <c r="B3348" s="30"/>
    </row>
    <row r="3349" spans="1:13">
      <c r="A3349" s="29"/>
      <c r="B3349" s="30"/>
    </row>
    <row r="3350" spans="1:13">
      <c r="A3350" s="29"/>
      <c r="B3350" s="30"/>
    </row>
    <row r="3351" spans="1:13">
      <c r="A3351" s="29"/>
      <c r="B3351" s="30"/>
      <c r="M3351" s="30"/>
    </row>
    <row r="3352" spans="1:13">
      <c r="A3352" s="29"/>
      <c r="B3352" s="30"/>
    </row>
    <row r="3353" spans="1:13">
      <c r="A3353" s="29"/>
      <c r="B3353" s="30"/>
    </row>
    <row r="3354" spans="1:13">
      <c r="A3354" s="29"/>
      <c r="B3354" s="30"/>
    </row>
    <row r="3355" spans="1:13">
      <c r="A3355" s="29"/>
      <c r="B3355" s="30"/>
    </row>
    <row r="3356" spans="1:13">
      <c r="A3356" s="29"/>
      <c r="B3356" s="30"/>
    </row>
    <row r="3357" spans="1:13">
      <c r="A3357" s="29"/>
      <c r="B3357" s="30"/>
    </row>
    <row r="3358" spans="1:13">
      <c r="A3358" s="29"/>
      <c r="B3358" s="30"/>
    </row>
    <row r="3359" spans="1:13">
      <c r="A3359" s="29"/>
      <c r="B3359" s="30"/>
    </row>
    <row r="3360" spans="1:13">
      <c r="A3360" s="29"/>
      <c r="B3360" s="30"/>
    </row>
    <row r="3361" spans="1:13">
      <c r="A3361" s="29"/>
      <c r="B3361" s="30"/>
    </row>
    <row r="3362" spans="1:13">
      <c r="A3362" s="29"/>
      <c r="B3362" s="30"/>
    </row>
    <row r="3363" spans="1:13">
      <c r="A3363" s="29"/>
      <c r="B3363" s="30"/>
    </row>
    <row r="3364" spans="1:13">
      <c r="A3364" s="29"/>
      <c r="B3364" s="30"/>
    </row>
    <row r="3365" spans="1:13">
      <c r="A3365" s="29"/>
      <c r="B3365" s="30"/>
    </row>
    <row r="3366" spans="1:13">
      <c r="A3366" s="29"/>
      <c r="B3366" s="30"/>
    </row>
    <row r="3367" spans="1:13">
      <c r="A3367" s="29"/>
      <c r="B3367" s="30"/>
    </row>
    <row r="3368" spans="1:13">
      <c r="A3368" s="29"/>
      <c r="B3368" s="30"/>
    </row>
    <row r="3369" spans="1:13">
      <c r="A3369" s="29"/>
      <c r="B3369" s="30"/>
    </row>
    <row r="3370" spans="1:13">
      <c r="A3370" s="29"/>
      <c r="B3370" s="30"/>
    </row>
    <row r="3371" spans="1:13">
      <c r="A3371" s="29"/>
      <c r="B3371" s="30"/>
    </row>
    <row r="3372" spans="1:13">
      <c r="A3372" s="29"/>
      <c r="B3372" s="30"/>
    </row>
    <row r="3373" spans="1:13">
      <c r="A3373" s="29"/>
      <c r="B3373" s="30"/>
    </row>
    <row r="3374" spans="1:13">
      <c r="A3374" s="29"/>
      <c r="B3374" s="30"/>
      <c r="M3374" s="30"/>
    </row>
    <row r="3375" spans="1:13">
      <c r="A3375" s="29"/>
      <c r="B3375" s="30"/>
    </row>
    <row r="3376" spans="1:13">
      <c r="A3376" s="29"/>
      <c r="B3376" s="30"/>
    </row>
    <row r="3377" spans="1:13">
      <c r="A3377" s="29"/>
      <c r="B3377" s="30"/>
    </row>
    <row r="3378" spans="1:13">
      <c r="A3378" s="29"/>
      <c r="B3378" s="30"/>
    </row>
    <row r="3379" spans="1:13">
      <c r="A3379" s="29"/>
      <c r="B3379" s="30"/>
    </row>
    <row r="3380" spans="1:13">
      <c r="A3380" s="29"/>
      <c r="B3380" s="30"/>
    </row>
    <row r="3381" spans="1:13">
      <c r="A3381" s="29"/>
      <c r="B3381" s="30"/>
    </row>
    <row r="3382" spans="1:13">
      <c r="A3382" s="29"/>
      <c r="B3382" s="30"/>
    </row>
    <row r="3383" spans="1:13">
      <c r="A3383" s="29"/>
      <c r="B3383" s="30"/>
      <c r="M3383" s="30"/>
    </row>
    <row r="3384" spans="1:13">
      <c r="A3384" s="29"/>
      <c r="B3384" s="30"/>
    </row>
    <row r="3385" spans="1:13">
      <c r="A3385" s="29"/>
      <c r="B3385" s="30"/>
    </row>
    <row r="3386" spans="1:13">
      <c r="A3386" s="29"/>
      <c r="B3386" s="30"/>
    </row>
    <row r="3387" spans="1:13">
      <c r="A3387" s="29"/>
      <c r="B3387" s="30"/>
      <c r="M3387" s="30"/>
    </row>
    <row r="3388" spans="1:13">
      <c r="A3388" s="29"/>
      <c r="B3388" s="30"/>
    </row>
    <row r="3389" spans="1:13">
      <c r="A3389" s="29"/>
      <c r="B3389" s="30"/>
    </row>
    <row r="3390" spans="1:13">
      <c r="A3390" s="29"/>
      <c r="B3390" s="30"/>
    </row>
    <row r="3391" spans="1:13">
      <c r="A3391" s="29"/>
      <c r="B3391" s="30"/>
      <c r="M3391" s="30"/>
    </row>
    <row r="3392" spans="1:13">
      <c r="A3392" s="29"/>
      <c r="B3392" s="30"/>
    </row>
    <row r="3393" spans="1:2">
      <c r="A3393" s="29"/>
      <c r="B3393" s="30"/>
    </row>
    <row r="3394" spans="1:2">
      <c r="A3394" s="29"/>
      <c r="B3394" s="30"/>
    </row>
    <row r="3395" spans="1:2">
      <c r="A3395" s="29"/>
      <c r="B3395" s="30"/>
    </row>
    <row r="3396" spans="1:2">
      <c r="A3396" s="29"/>
      <c r="B3396" s="30"/>
    </row>
    <row r="3397" spans="1:2">
      <c r="A3397" s="29"/>
      <c r="B3397" s="30"/>
    </row>
    <row r="3398" spans="1:2">
      <c r="A3398" s="29"/>
      <c r="B3398" s="30"/>
    </row>
    <row r="3399" spans="1:2">
      <c r="A3399" s="29"/>
      <c r="B3399" s="30"/>
    </row>
    <row r="3400" spans="1:2">
      <c r="A3400" s="29"/>
      <c r="B3400" s="30"/>
    </row>
    <row r="3401" spans="1:2">
      <c r="A3401" s="29"/>
      <c r="B3401" s="30"/>
    </row>
    <row r="3402" spans="1:2">
      <c r="A3402" s="29"/>
      <c r="B3402" s="30"/>
    </row>
    <row r="3403" spans="1:2">
      <c r="A3403" s="29"/>
      <c r="B3403" s="30"/>
    </row>
    <row r="3404" spans="1:2">
      <c r="A3404" s="29"/>
      <c r="B3404" s="30"/>
    </row>
    <row r="3405" spans="1:2">
      <c r="A3405" s="29"/>
      <c r="B3405" s="30"/>
    </row>
    <row r="3406" spans="1:2">
      <c r="A3406" s="29"/>
      <c r="B3406" s="30"/>
    </row>
    <row r="3407" spans="1:2">
      <c r="A3407" s="29"/>
      <c r="B3407" s="30"/>
    </row>
    <row r="3408" spans="1:2">
      <c r="A3408" s="29"/>
      <c r="B3408" s="30"/>
    </row>
    <row r="3409" spans="1:13">
      <c r="A3409" s="29"/>
      <c r="B3409" s="30"/>
    </row>
    <row r="3410" spans="1:13">
      <c r="A3410" s="29"/>
      <c r="B3410" s="30"/>
    </row>
    <row r="3411" spans="1:13">
      <c r="A3411" s="29"/>
      <c r="B3411" s="30"/>
    </row>
    <row r="3412" spans="1:13">
      <c r="A3412" s="29"/>
      <c r="B3412" s="30"/>
    </row>
    <row r="3413" spans="1:13">
      <c r="A3413" s="29"/>
      <c r="B3413" s="30"/>
    </row>
    <row r="3414" spans="1:13">
      <c r="A3414" s="29"/>
      <c r="B3414" s="30"/>
    </row>
    <row r="3415" spans="1:13">
      <c r="A3415" s="29"/>
      <c r="B3415" s="30"/>
      <c r="M3415" s="30"/>
    </row>
    <row r="3416" spans="1:13">
      <c r="A3416" s="29"/>
      <c r="B3416" s="30"/>
    </row>
    <row r="3417" spans="1:13">
      <c r="A3417" s="29"/>
      <c r="B3417" s="30"/>
    </row>
    <row r="3418" spans="1:13">
      <c r="A3418" s="29"/>
      <c r="B3418" s="30"/>
      <c r="M3418" s="30"/>
    </row>
    <row r="3419" spans="1:13">
      <c r="A3419" s="29"/>
      <c r="B3419" s="30"/>
    </row>
    <row r="3420" spans="1:13">
      <c r="A3420" s="29"/>
      <c r="B3420" s="30"/>
    </row>
    <row r="3421" spans="1:13">
      <c r="A3421" s="29"/>
      <c r="B3421" s="30"/>
    </row>
    <row r="3422" spans="1:13">
      <c r="A3422" s="29"/>
      <c r="B3422" s="30"/>
      <c r="M3422" s="30"/>
    </row>
    <row r="3423" spans="1:13">
      <c r="A3423" s="29"/>
      <c r="B3423" s="30"/>
    </row>
    <row r="3424" spans="1:13">
      <c r="A3424" s="29"/>
      <c r="B3424" s="30"/>
    </row>
    <row r="3425" spans="1:13">
      <c r="A3425" s="29"/>
      <c r="B3425" s="30"/>
      <c r="M3425" s="30"/>
    </row>
    <row r="3426" spans="1:13">
      <c r="A3426" s="29"/>
      <c r="B3426" s="30"/>
    </row>
    <row r="3427" spans="1:13">
      <c r="A3427" s="29"/>
      <c r="B3427" s="30"/>
    </row>
    <row r="3428" spans="1:13">
      <c r="A3428" s="29"/>
      <c r="B3428" s="30"/>
      <c r="M3428" s="30"/>
    </row>
    <row r="3429" spans="1:13">
      <c r="A3429" s="29"/>
      <c r="B3429" s="30"/>
    </row>
    <row r="3430" spans="1:13">
      <c r="A3430" s="29"/>
      <c r="B3430" s="30"/>
    </row>
    <row r="3431" spans="1:13">
      <c r="A3431" s="29"/>
      <c r="B3431" s="30"/>
    </row>
    <row r="3432" spans="1:13">
      <c r="A3432" s="29"/>
      <c r="B3432" s="30"/>
    </row>
    <row r="3433" spans="1:13">
      <c r="A3433" s="29"/>
      <c r="B3433" s="30"/>
    </row>
    <row r="3434" spans="1:13">
      <c r="A3434" s="29"/>
      <c r="B3434" s="30"/>
    </row>
    <row r="3435" spans="1:13">
      <c r="A3435" s="29"/>
      <c r="B3435" s="30"/>
    </row>
    <row r="3436" spans="1:13">
      <c r="A3436" s="29"/>
      <c r="B3436" s="30"/>
    </row>
    <row r="3437" spans="1:13">
      <c r="A3437" s="29"/>
      <c r="B3437" s="30"/>
    </row>
    <row r="3438" spans="1:13">
      <c r="A3438" s="29"/>
      <c r="B3438" s="30"/>
    </row>
    <row r="3439" spans="1:13">
      <c r="A3439" s="29"/>
      <c r="B3439" s="30"/>
    </row>
    <row r="3440" spans="1:13">
      <c r="A3440" s="29"/>
      <c r="B3440" s="30"/>
    </row>
    <row r="3441" spans="1:13">
      <c r="A3441" s="29"/>
      <c r="B3441" s="30"/>
    </row>
    <row r="3442" spans="1:13">
      <c r="A3442" s="29"/>
      <c r="B3442" s="30"/>
    </row>
    <row r="3443" spans="1:13">
      <c r="A3443" s="29"/>
      <c r="B3443" s="30"/>
    </row>
    <row r="3444" spans="1:13">
      <c r="A3444" s="29"/>
      <c r="B3444" s="30"/>
    </row>
    <row r="3445" spans="1:13">
      <c r="A3445" s="29"/>
      <c r="B3445" s="30"/>
    </row>
    <row r="3446" spans="1:13">
      <c r="A3446" s="29"/>
      <c r="B3446" s="30"/>
    </row>
    <row r="3447" spans="1:13">
      <c r="A3447" s="29"/>
      <c r="B3447" s="30"/>
    </row>
    <row r="3448" spans="1:13">
      <c r="A3448" s="29"/>
      <c r="B3448" s="30"/>
    </row>
    <row r="3449" spans="1:13">
      <c r="A3449" s="29"/>
      <c r="B3449" s="30"/>
    </row>
    <row r="3450" spans="1:13">
      <c r="A3450" s="29"/>
      <c r="B3450" s="30"/>
    </row>
    <row r="3451" spans="1:13">
      <c r="A3451" s="29"/>
      <c r="B3451" s="30"/>
    </row>
    <row r="3452" spans="1:13">
      <c r="A3452" s="29"/>
      <c r="B3452" s="30"/>
    </row>
    <row r="3453" spans="1:13">
      <c r="A3453" s="29"/>
      <c r="B3453" s="30"/>
    </row>
    <row r="3454" spans="1:13">
      <c r="A3454" s="29"/>
      <c r="B3454" s="30"/>
    </row>
    <row r="3455" spans="1:13">
      <c r="A3455" s="29"/>
      <c r="B3455" s="30"/>
      <c r="M3455" s="30"/>
    </row>
    <row r="3456" spans="1:13">
      <c r="A3456" s="29"/>
      <c r="B3456" s="30"/>
    </row>
    <row r="3457" spans="1:13">
      <c r="A3457" s="29"/>
      <c r="B3457" s="30"/>
    </row>
    <row r="3458" spans="1:13">
      <c r="A3458" s="29"/>
      <c r="B3458" s="30"/>
      <c r="M3458" s="30"/>
    </row>
    <row r="3459" spans="1:13">
      <c r="A3459" s="29"/>
      <c r="B3459" s="30"/>
    </row>
    <row r="3460" spans="1:13">
      <c r="A3460" s="29"/>
      <c r="B3460" s="30"/>
    </row>
    <row r="3461" spans="1:13">
      <c r="A3461" s="29"/>
      <c r="B3461" s="30"/>
    </row>
    <row r="3462" spans="1:13">
      <c r="A3462" s="29"/>
      <c r="B3462" s="30"/>
    </row>
    <row r="3463" spans="1:13">
      <c r="A3463" s="29"/>
      <c r="B3463" s="30"/>
    </row>
    <row r="3464" spans="1:13">
      <c r="A3464" s="29"/>
      <c r="B3464" s="30"/>
    </row>
    <row r="3465" spans="1:13">
      <c r="A3465" s="29"/>
      <c r="B3465" s="30"/>
    </row>
    <row r="3466" spans="1:13">
      <c r="A3466" s="29"/>
      <c r="B3466" s="30"/>
    </row>
    <row r="3467" spans="1:13">
      <c r="A3467" s="29"/>
      <c r="B3467" s="30"/>
    </row>
    <row r="3468" spans="1:13">
      <c r="A3468" s="29"/>
      <c r="B3468" s="30"/>
    </row>
    <row r="3469" spans="1:13">
      <c r="A3469" s="29"/>
      <c r="B3469" s="30"/>
    </row>
    <row r="3470" spans="1:13">
      <c r="A3470" s="29"/>
      <c r="B3470" s="30"/>
    </row>
    <row r="3471" spans="1:13">
      <c r="A3471" s="29"/>
      <c r="B3471" s="30"/>
    </row>
    <row r="3472" spans="1:13">
      <c r="A3472" s="29"/>
      <c r="B3472" s="30"/>
    </row>
    <row r="3473" spans="1:2">
      <c r="A3473" s="29"/>
      <c r="B3473" s="30"/>
    </row>
    <row r="3474" spans="1:2">
      <c r="A3474" s="29"/>
      <c r="B3474" s="30"/>
    </row>
    <row r="3475" spans="1:2">
      <c r="A3475" s="29"/>
      <c r="B3475" s="30"/>
    </row>
    <row r="3476" spans="1:2">
      <c r="A3476" s="29"/>
      <c r="B3476" s="30"/>
    </row>
    <row r="3477" spans="1:2">
      <c r="A3477" s="29"/>
      <c r="B3477" s="30"/>
    </row>
    <row r="3478" spans="1:2">
      <c r="A3478" s="29"/>
      <c r="B3478" s="30"/>
    </row>
    <row r="3479" spans="1:2">
      <c r="A3479" s="29"/>
      <c r="B3479" s="30"/>
    </row>
    <row r="3480" spans="1:2">
      <c r="A3480" s="29"/>
      <c r="B3480" s="30"/>
    </row>
    <row r="3481" spans="1:2">
      <c r="A3481" s="29"/>
      <c r="B3481" s="30"/>
    </row>
    <row r="3482" spans="1:2">
      <c r="A3482" s="29"/>
      <c r="B3482" s="30"/>
    </row>
    <row r="3483" spans="1:2">
      <c r="A3483" s="29"/>
      <c r="B3483" s="30"/>
    </row>
    <row r="3484" spans="1:2">
      <c r="A3484" s="29"/>
      <c r="B3484" s="30"/>
    </row>
    <row r="3485" spans="1:2">
      <c r="A3485" s="29"/>
      <c r="B3485" s="30"/>
    </row>
    <row r="3486" spans="1:2">
      <c r="A3486" s="29"/>
      <c r="B3486" s="30"/>
    </row>
    <row r="3487" spans="1:2">
      <c r="A3487" s="29"/>
      <c r="B3487" s="30"/>
    </row>
    <row r="3488" spans="1:2">
      <c r="A3488" s="29"/>
      <c r="B3488" s="30"/>
    </row>
    <row r="3489" spans="1:2">
      <c r="A3489" s="29"/>
      <c r="B3489" s="30"/>
    </row>
    <row r="3490" spans="1:2">
      <c r="A3490" s="29"/>
      <c r="B3490" s="30"/>
    </row>
    <row r="3491" spans="1:2">
      <c r="A3491" s="29"/>
      <c r="B3491" s="30"/>
    </row>
    <row r="3492" spans="1:2">
      <c r="A3492" s="29"/>
      <c r="B3492" s="30"/>
    </row>
    <row r="3493" spans="1:2">
      <c r="A3493" s="29"/>
      <c r="B3493" s="30"/>
    </row>
    <row r="3494" spans="1:2">
      <c r="A3494" s="29"/>
      <c r="B3494" s="30"/>
    </row>
    <row r="3495" spans="1:2">
      <c r="A3495" s="29"/>
      <c r="B3495" s="30"/>
    </row>
    <row r="3496" spans="1:2">
      <c r="A3496" s="29"/>
      <c r="B3496" s="30"/>
    </row>
    <row r="3497" spans="1:2">
      <c r="A3497" s="29"/>
      <c r="B3497" s="30"/>
    </row>
    <row r="3498" spans="1:2">
      <c r="A3498" s="29"/>
      <c r="B3498" s="30"/>
    </row>
    <row r="3499" spans="1:2">
      <c r="A3499" s="29"/>
      <c r="B3499" s="30"/>
    </row>
    <row r="3500" spans="1:2">
      <c r="A3500" s="29"/>
      <c r="B3500" s="30"/>
    </row>
    <row r="3501" spans="1:2">
      <c r="A3501" s="29"/>
      <c r="B3501" s="30"/>
    </row>
    <row r="3502" spans="1:2">
      <c r="A3502" s="29"/>
      <c r="B3502" s="30"/>
    </row>
    <row r="3503" spans="1:2">
      <c r="A3503" s="29"/>
      <c r="B3503" s="30"/>
    </row>
    <row r="3504" spans="1:2">
      <c r="A3504" s="29"/>
      <c r="B3504" s="30"/>
    </row>
    <row r="3505" spans="1:2">
      <c r="A3505" s="29"/>
      <c r="B3505" s="30"/>
    </row>
    <row r="3506" spans="1:2">
      <c r="A3506" s="29"/>
      <c r="B3506" s="30"/>
    </row>
    <row r="3507" spans="1:2">
      <c r="A3507" s="29"/>
      <c r="B3507" s="30"/>
    </row>
    <row r="3508" spans="1:2">
      <c r="A3508" s="29"/>
      <c r="B3508" s="30"/>
    </row>
    <row r="3509" spans="1:2">
      <c r="A3509" s="29"/>
      <c r="B3509" s="30"/>
    </row>
    <row r="3510" spans="1:2">
      <c r="A3510" s="29"/>
      <c r="B3510" s="30"/>
    </row>
    <row r="3511" spans="1:2">
      <c r="A3511" s="29"/>
      <c r="B3511" s="30"/>
    </row>
    <row r="3512" spans="1:2">
      <c r="A3512" s="29"/>
      <c r="B3512" s="30"/>
    </row>
    <row r="3513" spans="1:2">
      <c r="A3513" s="29"/>
      <c r="B3513" s="30"/>
    </row>
    <row r="3514" spans="1:2">
      <c r="A3514" s="29"/>
      <c r="B3514" s="30"/>
    </row>
    <row r="3515" spans="1:2">
      <c r="A3515" s="29"/>
      <c r="B3515" s="30"/>
    </row>
    <row r="3516" spans="1:2">
      <c r="A3516" s="29"/>
      <c r="B3516" s="30"/>
    </row>
    <row r="3517" spans="1:2">
      <c r="A3517" s="29"/>
      <c r="B3517" s="30"/>
    </row>
    <row r="3518" spans="1:2">
      <c r="A3518" s="29"/>
      <c r="B3518" s="30"/>
    </row>
    <row r="3519" spans="1:2">
      <c r="A3519" s="29"/>
      <c r="B3519" s="30"/>
    </row>
    <row r="3520" spans="1:2">
      <c r="A3520" s="29"/>
      <c r="B3520" s="30"/>
    </row>
    <row r="3521" spans="1:2">
      <c r="A3521" s="29"/>
      <c r="B3521" s="30"/>
    </row>
    <row r="3522" spans="1:2">
      <c r="A3522" s="29"/>
      <c r="B3522" s="30"/>
    </row>
    <row r="3523" spans="1:2">
      <c r="A3523" s="29"/>
      <c r="B3523" s="30"/>
    </row>
    <row r="3524" spans="1:2">
      <c r="A3524" s="29"/>
      <c r="B3524" s="30"/>
    </row>
    <row r="3525" spans="1:2">
      <c r="A3525" s="29"/>
      <c r="B3525" s="30"/>
    </row>
    <row r="3526" spans="1:2">
      <c r="A3526" s="29"/>
      <c r="B3526" s="30"/>
    </row>
    <row r="3527" spans="1:2">
      <c r="A3527" s="29"/>
      <c r="B3527" s="30"/>
    </row>
    <row r="3528" spans="1:2">
      <c r="A3528" s="29"/>
      <c r="B3528" s="30"/>
    </row>
    <row r="3529" spans="1:2">
      <c r="A3529" s="29"/>
      <c r="B3529" s="30"/>
    </row>
    <row r="3530" spans="1:2">
      <c r="A3530" s="29"/>
      <c r="B3530" s="30"/>
    </row>
    <row r="3531" spans="1:2">
      <c r="A3531" s="29"/>
      <c r="B3531" s="30"/>
    </row>
    <row r="3532" spans="1:2">
      <c r="A3532" s="29"/>
      <c r="B3532" s="30"/>
    </row>
    <row r="3533" spans="1:2">
      <c r="A3533" s="29"/>
      <c r="B3533" s="30"/>
    </row>
    <row r="3534" spans="1:2">
      <c r="A3534" s="29"/>
      <c r="B3534" s="30"/>
    </row>
    <row r="3535" spans="1:2">
      <c r="A3535" s="29"/>
      <c r="B3535" s="30"/>
    </row>
    <row r="3536" spans="1:2">
      <c r="A3536" s="29"/>
      <c r="B3536" s="30"/>
    </row>
    <row r="3537" spans="1:2">
      <c r="A3537" s="29"/>
      <c r="B3537" s="30"/>
    </row>
    <row r="3538" spans="1:2">
      <c r="A3538" s="29"/>
      <c r="B3538" s="30"/>
    </row>
    <row r="3539" spans="1:2">
      <c r="A3539" s="29"/>
      <c r="B3539" s="30"/>
    </row>
    <row r="3540" spans="1:2">
      <c r="A3540" s="29"/>
      <c r="B3540" s="30"/>
    </row>
    <row r="3541" spans="1:2">
      <c r="A3541" s="29"/>
      <c r="B3541" s="30"/>
    </row>
    <row r="3542" spans="1:2">
      <c r="A3542" s="29"/>
      <c r="B3542" s="30"/>
    </row>
    <row r="3543" spans="1:2">
      <c r="A3543" s="29"/>
      <c r="B3543" s="30"/>
    </row>
    <row r="3544" spans="1:2">
      <c r="A3544" s="29"/>
      <c r="B3544" s="30"/>
    </row>
    <row r="3545" spans="1:2">
      <c r="A3545" s="29"/>
      <c r="B3545" s="30"/>
    </row>
    <row r="3546" spans="1:2">
      <c r="A3546" s="29"/>
      <c r="B3546" s="30"/>
    </row>
    <row r="3547" spans="1:2">
      <c r="A3547" s="29"/>
      <c r="B3547" s="30"/>
    </row>
    <row r="3548" spans="1:2">
      <c r="A3548" s="29"/>
      <c r="B3548" s="30"/>
    </row>
    <row r="3549" spans="1:2">
      <c r="A3549" s="29"/>
      <c r="B3549" s="30"/>
    </row>
    <row r="3550" spans="1:2">
      <c r="A3550" s="29"/>
      <c r="B3550" s="30"/>
    </row>
    <row r="3551" spans="1:2">
      <c r="A3551" s="29"/>
      <c r="B3551" s="30"/>
    </row>
    <row r="3552" spans="1:2">
      <c r="A3552" s="29"/>
      <c r="B3552" s="30"/>
    </row>
    <row r="3553" spans="1:2">
      <c r="A3553" s="29"/>
      <c r="B3553" s="30"/>
    </row>
    <row r="3554" spans="1:2">
      <c r="A3554" s="29"/>
      <c r="B3554" s="30"/>
    </row>
    <row r="3555" spans="1:2">
      <c r="A3555" s="29"/>
      <c r="B3555" s="30"/>
    </row>
    <row r="3556" spans="1:2">
      <c r="A3556" s="29"/>
      <c r="B3556" s="30"/>
    </row>
    <row r="3557" spans="1:2">
      <c r="A3557" s="29"/>
      <c r="B3557" s="30"/>
    </row>
    <row r="3558" spans="1:2">
      <c r="A3558" s="29"/>
      <c r="B3558" s="30"/>
    </row>
    <row r="3559" spans="1:2">
      <c r="A3559" s="29"/>
      <c r="B3559" s="30"/>
    </row>
    <row r="3560" spans="1:2">
      <c r="A3560" s="29"/>
      <c r="B3560" s="30"/>
    </row>
    <row r="3561" spans="1:2">
      <c r="A3561" s="29"/>
      <c r="B3561" s="30"/>
    </row>
    <row r="3562" spans="1:2">
      <c r="A3562" s="29"/>
      <c r="B3562" s="30"/>
    </row>
    <row r="3563" spans="1:2">
      <c r="A3563" s="29"/>
      <c r="B3563" s="30"/>
    </row>
    <row r="3564" spans="1:2">
      <c r="A3564" s="29"/>
      <c r="B3564" s="30"/>
    </row>
    <row r="3565" spans="1:2">
      <c r="A3565" s="29"/>
      <c r="B3565" s="30"/>
    </row>
    <row r="3566" spans="1:2">
      <c r="A3566" s="29"/>
      <c r="B3566" s="30"/>
    </row>
    <row r="3567" spans="1:2">
      <c r="A3567" s="29"/>
      <c r="B3567" s="30"/>
    </row>
    <row r="3568" spans="1:2">
      <c r="A3568" s="29"/>
      <c r="B3568" s="30"/>
    </row>
    <row r="3569" spans="1:2">
      <c r="A3569" s="29"/>
      <c r="B3569" s="30"/>
    </row>
    <row r="3570" spans="1:2">
      <c r="A3570" s="29"/>
      <c r="B3570" s="30"/>
    </row>
    <row r="3571" spans="1:2">
      <c r="A3571" s="29"/>
      <c r="B3571" s="30"/>
    </row>
    <row r="3572" spans="1:2">
      <c r="A3572" s="29"/>
      <c r="B3572" s="30"/>
    </row>
    <row r="3573" spans="1:2">
      <c r="A3573" s="29"/>
      <c r="B3573" s="30"/>
    </row>
    <row r="3574" spans="1:2">
      <c r="A3574" s="29"/>
      <c r="B3574" s="30"/>
    </row>
    <row r="3575" spans="1:2">
      <c r="A3575" s="29"/>
      <c r="B3575" s="30"/>
    </row>
    <row r="3576" spans="1:2">
      <c r="A3576" s="29"/>
      <c r="B3576" s="30"/>
    </row>
    <row r="3577" spans="1:2">
      <c r="A3577" s="29"/>
      <c r="B3577" s="30"/>
    </row>
    <row r="3578" spans="1:2">
      <c r="A3578" s="29"/>
      <c r="B3578" s="30"/>
    </row>
    <row r="3579" spans="1:2">
      <c r="A3579" s="29"/>
      <c r="B3579" s="30"/>
    </row>
    <row r="3580" spans="1:2">
      <c r="A3580" s="29"/>
      <c r="B3580" s="30"/>
    </row>
    <row r="3581" spans="1:2">
      <c r="A3581" s="29"/>
      <c r="B3581" s="30"/>
    </row>
    <row r="3582" spans="1:2">
      <c r="A3582" s="29"/>
      <c r="B3582" s="30"/>
    </row>
    <row r="3583" spans="1:2">
      <c r="A3583" s="29"/>
      <c r="B3583" s="30"/>
    </row>
    <row r="3584" spans="1:2">
      <c r="A3584" s="29"/>
      <c r="B3584" s="30"/>
    </row>
    <row r="3585" spans="1:2">
      <c r="A3585" s="29"/>
      <c r="B3585" s="30"/>
    </row>
    <row r="3586" spans="1:2">
      <c r="A3586" s="29"/>
      <c r="B3586" s="30"/>
    </row>
    <row r="3587" spans="1:2">
      <c r="A3587" s="29"/>
      <c r="B3587" s="30"/>
    </row>
    <row r="3588" spans="1:2">
      <c r="A3588" s="29"/>
      <c r="B3588" s="30"/>
    </row>
    <row r="3589" spans="1:2">
      <c r="A3589" s="29"/>
      <c r="B3589" s="30"/>
    </row>
    <row r="3590" spans="1:2">
      <c r="A3590" s="29"/>
      <c r="B3590" s="30"/>
    </row>
    <row r="3591" spans="1:2">
      <c r="A3591" s="29"/>
      <c r="B3591" s="30"/>
    </row>
    <row r="3592" spans="1:2">
      <c r="A3592" s="29"/>
      <c r="B3592" s="30"/>
    </row>
    <row r="3593" spans="1:2">
      <c r="A3593" s="29"/>
      <c r="B3593" s="30"/>
    </row>
    <row r="3594" spans="1:2">
      <c r="A3594" s="29"/>
      <c r="B3594" s="30"/>
    </row>
    <row r="3595" spans="1:2">
      <c r="A3595" s="29"/>
      <c r="B3595" s="30"/>
    </row>
    <row r="3596" spans="1:2">
      <c r="A3596" s="29"/>
      <c r="B3596" s="30"/>
    </row>
    <row r="3597" spans="1:2">
      <c r="A3597" s="29"/>
      <c r="B3597" s="30"/>
    </row>
    <row r="3598" spans="1:2">
      <c r="A3598" s="29"/>
      <c r="B3598" s="30"/>
    </row>
    <row r="3599" spans="1:2">
      <c r="A3599" s="29"/>
      <c r="B3599" s="30"/>
    </row>
    <row r="3600" spans="1:2">
      <c r="A3600" s="29"/>
      <c r="B3600" s="30"/>
    </row>
    <row r="3601" spans="1:2">
      <c r="A3601" s="29"/>
      <c r="B3601" s="30"/>
    </row>
    <row r="3602" spans="1:2">
      <c r="A3602" s="29"/>
      <c r="B3602" s="30"/>
    </row>
    <row r="3603" spans="1:2">
      <c r="A3603" s="29"/>
      <c r="B3603" s="30"/>
    </row>
    <row r="3604" spans="1:2">
      <c r="A3604" s="29"/>
      <c r="B3604" s="30"/>
    </row>
    <row r="3605" spans="1:2">
      <c r="A3605" s="29"/>
      <c r="B3605" s="30"/>
    </row>
    <row r="3606" spans="1:2">
      <c r="A3606" s="29"/>
      <c r="B3606" s="30"/>
    </row>
    <row r="3607" spans="1:2">
      <c r="A3607" s="29"/>
      <c r="B3607" s="30"/>
    </row>
    <row r="3608" spans="1:2">
      <c r="A3608" s="29"/>
      <c r="B3608" s="30"/>
    </row>
    <row r="3609" spans="1:2">
      <c r="A3609" s="29"/>
      <c r="B3609" s="30"/>
    </row>
    <row r="3610" spans="1:2">
      <c r="A3610" s="29"/>
      <c r="B3610" s="30"/>
    </row>
    <row r="3611" spans="1:2">
      <c r="A3611" s="29"/>
      <c r="B3611" s="30"/>
    </row>
    <row r="3612" spans="1:2">
      <c r="A3612" s="29"/>
      <c r="B3612" s="30"/>
    </row>
    <row r="3613" spans="1:2">
      <c r="A3613" s="29"/>
      <c r="B3613" s="30"/>
    </row>
    <row r="3614" spans="1:2">
      <c r="A3614" s="29"/>
      <c r="B3614" s="30"/>
    </row>
    <row r="3615" spans="1:2">
      <c r="A3615" s="29"/>
      <c r="B3615" s="30"/>
    </row>
    <row r="3616" spans="1:2">
      <c r="A3616" s="29"/>
      <c r="B3616" s="30"/>
    </row>
    <row r="3617" spans="1:2">
      <c r="A3617" s="29"/>
      <c r="B3617" s="30"/>
    </row>
    <row r="3618" spans="1:2">
      <c r="A3618" s="29"/>
      <c r="B3618" s="30"/>
    </row>
    <row r="3619" spans="1:2">
      <c r="A3619" s="29"/>
      <c r="B3619" s="30"/>
    </row>
    <row r="3620" spans="1:2">
      <c r="A3620" s="29"/>
      <c r="B3620" s="30"/>
    </row>
    <row r="3621" spans="1:2">
      <c r="A3621" s="29"/>
      <c r="B3621" s="30"/>
    </row>
    <row r="3622" spans="1:2">
      <c r="A3622" s="29"/>
      <c r="B3622" s="30"/>
    </row>
    <row r="3623" spans="1:2">
      <c r="A3623" s="29"/>
      <c r="B3623" s="30"/>
    </row>
    <row r="3624" spans="1:2">
      <c r="A3624" s="29"/>
      <c r="B3624" s="30"/>
    </row>
    <row r="3625" spans="1:2">
      <c r="A3625" s="29"/>
      <c r="B3625" s="30"/>
    </row>
    <row r="3626" spans="1:2">
      <c r="A3626" s="29"/>
      <c r="B3626" s="30"/>
    </row>
    <row r="3627" spans="1:2">
      <c r="A3627" s="29"/>
      <c r="B3627" s="30"/>
    </row>
    <row r="3628" spans="1:2">
      <c r="A3628" s="29"/>
      <c r="B3628" s="30"/>
    </row>
    <row r="3629" spans="1:2">
      <c r="A3629" s="29"/>
      <c r="B3629" s="30"/>
    </row>
    <row r="3630" spans="1:2">
      <c r="A3630" s="29"/>
      <c r="B3630" s="30"/>
    </row>
    <row r="3631" spans="1:2">
      <c r="A3631" s="29"/>
      <c r="B3631" s="30"/>
    </row>
    <row r="3632" spans="1:2">
      <c r="A3632" s="29"/>
      <c r="B3632" s="30"/>
    </row>
    <row r="3633" spans="1:2">
      <c r="A3633" s="29"/>
      <c r="B3633" s="30"/>
    </row>
    <row r="3634" spans="1:2">
      <c r="A3634" s="29"/>
      <c r="B3634" s="30"/>
    </row>
    <row r="3635" spans="1:2">
      <c r="A3635" s="29"/>
      <c r="B3635" s="30"/>
    </row>
    <row r="3636" spans="1:2">
      <c r="A3636" s="29"/>
      <c r="B3636" s="30"/>
    </row>
    <row r="3637" spans="1:2">
      <c r="A3637" s="29"/>
      <c r="B3637" s="30"/>
    </row>
    <row r="3638" spans="1:2">
      <c r="A3638" s="29"/>
      <c r="B3638" s="30"/>
    </row>
    <row r="3639" spans="1:2">
      <c r="A3639" s="29"/>
      <c r="B3639" s="30"/>
    </row>
    <row r="3640" spans="1:2">
      <c r="A3640" s="29"/>
      <c r="B3640" s="30"/>
    </row>
    <row r="3641" spans="1:2">
      <c r="A3641" s="29"/>
      <c r="B3641" s="30"/>
    </row>
    <row r="3642" spans="1:2">
      <c r="A3642" s="29"/>
      <c r="B3642" s="30"/>
    </row>
    <row r="3643" spans="1:2">
      <c r="A3643" s="29"/>
      <c r="B3643" s="30"/>
    </row>
    <row r="3644" spans="1:2">
      <c r="A3644" s="29"/>
      <c r="B3644" s="30"/>
    </row>
    <row r="3645" spans="1:2">
      <c r="A3645" s="29"/>
      <c r="B3645" s="30"/>
    </row>
    <row r="3646" spans="1:2">
      <c r="A3646" s="29"/>
      <c r="B3646" s="30"/>
    </row>
    <row r="3647" spans="1:2">
      <c r="A3647" s="29"/>
      <c r="B3647" s="30"/>
    </row>
    <row r="3648" spans="1:2">
      <c r="A3648" s="29"/>
      <c r="B3648" s="30"/>
    </row>
    <row r="3649" spans="1:2">
      <c r="A3649" s="29"/>
      <c r="B3649" s="30"/>
    </row>
    <row r="3650" spans="1:2">
      <c r="A3650" s="29"/>
      <c r="B3650" s="30"/>
    </row>
    <row r="3651" spans="1:2">
      <c r="A3651" s="29"/>
      <c r="B3651" s="30"/>
    </row>
    <row r="3652" spans="1:2">
      <c r="A3652" s="29"/>
      <c r="B3652" s="30"/>
    </row>
    <row r="3653" spans="1:2">
      <c r="A3653" s="29"/>
      <c r="B3653" s="30"/>
    </row>
    <row r="3654" spans="1:2">
      <c r="A3654" s="29"/>
      <c r="B3654" s="30"/>
    </row>
    <row r="3655" spans="1:2">
      <c r="A3655" s="29"/>
      <c r="B3655" s="30"/>
    </row>
    <row r="3656" spans="1:2">
      <c r="A3656" s="29"/>
      <c r="B3656" s="30"/>
    </row>
    <row r="3657" spans="1:2">
      <c r="A3657" s="29"/>
      <c r="B3657" s="30"/>
    </row>
    <row r="3658" spans="1:2">
      <c r="A3658" s="29"/>
      <c r="B3658" s="30"/>
    </row>
    <row r="3659" spans="1:2">
      <c r="A3659" s="29"/>
      <c r="B3659" s="30"/>
    </row>
    <row r="3660" spans="1:2">
      <c r="A3660" s="29"/>
      <c r="B3660" s="30"/>
    </row>
    <row r="3661" spans="1:2">
      <c r="A3661" s="29"/>
      <c r="B3661" s="30"/>
    </row>
    <row r="3662" spans="1:2">
      <c r="A3662" s="29"/>
      <c r="B3662" s="30"/>
    </row>
    <row r="3663" spans="1:2">
      <c r="A3663" s="29"/>
      <c r="B3663" s="30"/>
    </row>
    <row r="3664" spans="1:2">
      <c r="A3664" s="29"/>
      <c r="B3664" s="30"/>
    </row>
    <row r="3665" spans="1:13">
      <c r="A3665" s="29"/>
      <c r="B3665" s="30"/>
    </row>
    <row r="3666" spans="1:13">
      <c r="A3666" s="29"/>
      <c r="B3666" s="30"/>
    </row>
    <row r="3667" spans="1:13">
      <c r="A3667" s="29"/>
      <c r="B3667" s="30"/>
    </row>
    <row r="3668" spans="1:13">
      <c r="A3668" s="29"/>
      <c r="B3668" s="30"/>
    </row>
    <row r="3669" spans="1:13">
      <c r="A3669" s="29"/>
      <c r="B3669" s="30"/>
    </row>
    <row r="3670" spans="1:13">
      <c r="A3670" s="29"/>
      <c r="B3670" s="30"/>
    </row>
    <row r="3671" spans="1:13">
      <c r="A3671" s="29"/>
      <c r="B3671" s="30"/>
    </row>
    <row r="3672" spans="1:13">
      <c r="A3672" s="29"/>
      <c r="B3672" s="30"/>
    </row>
    <row r="3673" spans="1:13">
      <c r="A3673" s="29"/>
      <c r="B3673" s="30"/>
    </row>
    <row r="3674" spans="1:13">
      <c r="A3674" s="29"/>
      <c r="B3674" s="30"/>
    </row>
    <row r="3675" spans="1:13">
      <c r="A3675" s="29"/>
      <c r="B3675" s="30"/>
    </row>
    <row r="3676" spans="1:13">
      <c r="A3676" s="29"/>
      <c r="B3676" s="30"/>
      <c r="M3676" s="30"/>
    </row>
    <row r="3677" spans="1:13">
      <c r="A3677" s="29"/>
      <c r="B3677" s="30"/>
    </row>
    <row r="3678" spans="1:13">
      <c r="A3678" s="29"/>
      <c r="B3678" s="30"/>
    </row>
    <row r="3679" spans="1:13">
      <c r="A3679" s="29"/>
      <c r="B3679" s="30"/>
    </row>
    <row r="3680" spans="1:13">
      <c r="A3680" s="29"/>
      <c r="B3680" s="30"/>
    </row>
    <row r="3681" spans="1:2">
      <c r="A3681" s="29"/>
      <c r="B3681" s="30"/>
    </row>
    <row r="3682" spans="1:2">
      <c r="A3682" s="29"/>
      <c r="B3682" s="30"/>
    </row>
    <row r="3683" spans="1:2">
      <c r="A3683" s="29"/>
      <c r="B3683" s="30"/>
    </row>
    <row r="3684" spans="1:2">
      <c r="A3684" s="29"/>
      <c r="B3684" s="30"/>
    </row>
    <row r="3685" spans="1:2">
      <c r="A3685" s="29"/>
      <c r="B3685" s="30"/>
    </row>
    <row r="3686" spans="1:2">
      <c r="A3686" s="29"/>
      <c r="B3686" s="30"/>
    </row>
    <row r="3687" spans="1:2">
      <c r="A3687" s="29"/>
      <c r="B3687" s="30"/>
    </row>
    <row r="3688" spans="1:2">
      <c r="A3688" s="29"/>
      <c r="B3688" s="30"/>
    </row>
    <row r="3689" spans="1:2">
      <c r="A3689" s="29"/>
      <c r="B3689" s="30"/>
    </row>
    <row r="3690" spans="1:2">
      <c r="A3690" s="29"/>
      <c r="B3690" s="30"/>
    </row>
    <row r="3691" spans="1:2">
      <c r="A3691" s="29"/>
      <c r="B3691" s="30"/>
    </row>
    <row r="3692" spans="1:2">
      <c r="A3692" s="29"/>
      <c r="B3692" s="30"/>
    </row>
    <row r="3693" spans="1:2">
      <c r="A3693" s="29"/>
      <c r="B3693" s="30"/>
    </row>
    <row r="3694" spans="1:2">
      <c r="A3694" s="29"/>
      <c r="B3694" s="30"/>
    </row>
    <row r="3695" spans="1:2">
      <c r="A3695" s="29"/>
      <c r="B3695" s="30"/>
    </row>
    <row r="3696" spans="1:2">
      <c r="A3696" s="29"/>
      <c r="B3696" s="30"/>
    </row>
    <row r="3697" spans="1:2">
      <c r="A3697" s="29"/>
      <c r="B3697" s="30"/>
    </row>
    <row r="3698" spans="1:2">
      <c r="A3698" s="29"/>
      <c r="B3698" s="30"/>
    </row>
    <row r="3699" spans="1:2">
      <c r="A3699" s="29"/>
      <c r="B3699" s="30"/>
    </row>
    <row r="3700" spans="1:2">
      <c r="A3700" s="29"/>
      <c r="B3700" s="30"/>
    </row>
    <row r="3701" spans="1:2">
      <c r="A3701" s="29"/>
      <c r="B3701" s="30"/>
    </row>
    <row r="3702" spans="1:2">
      <c r="A3702" s="29"/>
      <c r="B3702" s="30"/>
    </row>
    <row r="3703" spans="1:2">
      <c r="A3703" s="29"/>
      <c r="B3703" s="30"/>
    </row>
    <row r="3704" spans="1:2">
      <c r="A3704" s="29"/>
      <c r="B3704" s="30"/>
    </row>
    <row r="3705" spans="1:2">
      <c r="A3705" s="29"/>
      <c r="B3705" s="30"/>
    </row>
    <row r="3706" spans="1:2">
      <c r="A3706" s="29"/>
      <c r="B3706" s="30"/>
    </row>
    <row r="3707" spans="1:2">
      <c r="A3707" s="29"/>
      <c r="B3707" s="30"/>
    </row>
    <row r="3708" spans="1:2">
      <c r="A3708" s="29"/>
      <c r="B3708" s="30"/>
    </row>
    <row r="3709" spans="1:2">
      <c r="A3709" s="29"/>
      <c r="B3709" s="30"/>
    </row>
    <row r="3710" spans="1:2">
      <c r="A3710" s="29"/>
      <c r="B3710" s="30"/>
    </row>
    <row r="3711" spans="1:2">
      <c r="A3711" s="29"/>
      <c r="B3711" s="30"/>
    </row>
    <row r="3712" spans="1:2">
      <c r="A3712" s="29"/>
      <c r="B3712" s="30"/>
    </row>
    <row r="3713" spans="1:2">
      <c r="A3713" s="29"/>
      <c r="B3713" s="30"/>
    </row>
    <row r="3714" spans="1:2">
      <c r="A3714" s="29"/>
      <c r="B3714" s="30"/>
    </row>
    <row r="3715" spans="1:2">
      <c r="A3715" s="29"/>
      <c r="B3715" s="30"/>
    </row>
    <row r="3716" spans="1:2">
      <c r="A3716" s="29"/>
      <c r="B3716" s="30"/>
    </row>
    <row r="3717" spans="1:2">
      <c r="A3717" s="29"/>
      <c r="B3717" s="30"/>
    </row>
    <row r="3718" spans="1:2">
      <c r="A3718" s="29"/>
      <c r="B3718" s="30"/>
    </row>
    <row r="3719" spans="1:2">
      <c r="A3719" s="29"/>
      <c r="B3719" s="30"/>
    </row>
    <row r="3720" spans="1:2">
      <c r="A3720" s="29"/>
      <c r="B3720" s="30"/>
    </row>
    <row r="3721" spans="1:2">
      <c r="A3721" s="29"/>
      <c r="B3721" s="30"/>
    </row>
    <row r="3722" spans="1:2">
      <c r="A3722" s="29"/>
      <c r="B3722" s="30"/>
    </row>
    <row r="3723" spans="1:2">
      <c r="A3723" s="29"/>
      <c r="B3723" s="30"/>
    </row>
    <row r="3724" spans="1:2">
      <c r="A3724" s="29"/>
      <c r="B3724" s="30"/>
    </row>
    <row r="3725" spans="1:2">
      <c r="A3725" s="29"/>
      <c r="B3725" s="30"/>
    </row>
    <row r="3726" spans="1:2">
      <c r="A3726" s="29"/>
      <c r="B3726" s="30"/>
    </row>
    <row r="3727" spans="1:2">
      <c r="A3727" s="29"/>
      <c r="B3727" s="30"/>
    </row>
    <row r="3728" spans="1:2">
      <c r="A3728" s="29"/>
      <c r="B3728" s="30"/>
    </row>
    <row r="3729" spans="1:2">
      <c r="A3729" s="29"/>
      <c r="B3729" s="30"/>
    </row>
    <row r="3730" spans="1:2">
      <c r="A3730" s="29"/>
      <c r="B3730" s="30"/>
    </row>
    <row r="3731" spans="1:2">
      <c r="A3731" s="29"/>
      <c r="B3731" s="30"/>
    </row>
    <row r="3732" spans="1:2">
      <c r="A3732" s="29"/>
      <c r="B3732" s="30"/>
    </row>
    <row r="3733" spans="1:2">
      <c r="A3733" s="29"/>
      <c r="B3733" s="30"/>
    </row>
    <row r="3734" spans="1:2">
      <c r="A3734" s="29"/>
      <c r="B3734" s="30"/>
    </row>
    <row r="3735" spans="1:2">
      <c r="A3735" s="29"/>
      <c r="B3735" s="30"/>
    </row>
    <row r="3736" spans="1:2">
      <c r="A3736" s="29"/>
      <c r="B3736" s="30"/>
    </row>
    <row r="3737" spans="1:2">
      <c r="A3737" s="29"/>
      <c r="B3737" s="30"/>
    </row>
    <row r="3738" spans="1:2">
      <c r="A3738" s="29"/>
      <c r="B3738" s="30"/>
    </row>
    <row r="3739" spans="1:2">
      <c r="A3739" s="29"/>
      <c r="B3739" s="30"/>
    </row>
    <row r="3740" spans="1:2">
      <c r="A3740" s="29"/>
      <c r="B3740" s="30"/>
    </row>
    <row r="3741" spans="1:2">
      <c r="A3741" s="29"/>
      <c r="B3741" s="30"/>
    </row>
    <row r="3742" spans="1:2">
      <c r="A3742" s="29"/>
      <c r="B3742" s="30"/>
    </row>
    <row r="3743" spans="1:2">
      <c r="A3743" s="29"/>
      <c r="B3743" s="30"/>
    </row>
    <row r="3744" spans="1:2">
      <c r="A3744" s="29"/>
      <c r="B3744" s="30"/>
    </row>
    <row r="3745" spans="1:13">
      <c r="A3745" s="29"/>
      <c r="B3745" s="30"/>
    </row>
    <row r="3746" spans="1:13">
      <c r="A3746" s="29"/>
      <c r="B3746" s="30"/>
    </row>
    <row r="3747" spans="1:13">
      <c r="A3747" s="29"/>
      <c r="B3747" s="30"/>
    </row>
    <row r="3748" spans="1:13">
      <c r="A3748" s="29"/>
      <c r="B3748" s="30"/>
    </row>
    <row r="3749" spans="1:13">
      <c r="A3749" s="29"/>
      <c r="B3749" s="30"/>
    </row>
    <row r="3750" spans="1:13">
      <c r="A3750" s="29"/>
      <c r="B3750" s="30"/>
    </row>
    <row r="3751" spans="1:13">
      <c r="A3751" s="29"/>
      <c r="B3751" s="30"/>
    </row>
    <row r="3752" spans="1:13">
      <c r="A3752" s="29"/>
      <c r="B3752" s="30"/>
      <c r="M3752" s="30"/>
    </row>
    <row r="3753" spans="1:13">
      <c r="A3753" s="29"/>
      <c r="B3753" s="30"/>
    </row>
    <row r="3754" spans="1:13">
      <c r="A3754" s="29"/>
      <c r="B3754" s="30"/>
    </row>
    <row r="3755" spans="1:13">
      <c r="A3755" s="29"/>
      <c r="B3755" s="30"/>
    </row>
    <row r="3756" spans="1:13">
      <c r="A3756" s="29"/>
      <c r="B3756" s="30"/>
    </row>
    <row r="3757" spans="1:13">
      <c r="A3757" s="29"/>
      <c r="B3757" s="30"/>
    </row>
    <row r="3758" spans="1:13">
      <c r="A3758" s="29"/>
      <c r="B3758" s="30"/>
    </row>
    <row r="3759" spans="1:13">
      <c r="A3759" s="29"/>
      <c r="B3759" s="30"/>
    </row>
    <row r="3760" spans="1:13">
      <c r="A3760" s="29"/>
      <c r="B3760" s="30"/>
    </row>
    <row r="3761" spans="1:13">
      <c r="A3761" s="29"/>
      <c r="B3761" s="30"/>
    </row>
    <row r="3762" spans="1:13">
      <c r="A3762" s="29"/>
      <c r="B3762" s="30"/>
    </row>
    <row r="3763" spans="1:13">
      <c r="A3763" s="29"/>
      <c r="B3763" s="30"/>
    </row>
    <row r="3764" spans="1:13">
      <c r="A3764" s="29"/>
      <c r="B3764" s="30"/>
    </row>
    <row r="3765" spans="1:13">
      <c r="A3765" s="29"/>
      <c r="B3765" s="30"/>
    </row>
    <row r="3766" spans="1:13">
      <c r="A3766" s="29"/>
      <c r="B3766" s="30"/>
    </row>
    <row r="3767" spans="1:13">
      <c r="A3767" s="29"/>
      <c r="B3767" s="30"/>
    </row>
    <row r="3768" spans="1:13">
      <c r="A3768" s="29"/>
      <c r="B3768" s="30"/>
    </row>
    <row r="3769" spans="1:13">
      <c r="A3769" s="29"/>
      <c r="B3769" s="30"/>
    </row>
    <row r="3770" spans="1:13">
      <c r="A3770" s="29"/>
      <c r="B3770" s="30"/>
      <c r="M3770" s="30"/>
    </row>
    <row r="3771" spans="1:13">
      <c r="A3771" s="29"/>
      <c r="B3771" s="30"/>
    </row>
    <row r="3772" spans="1:13">
      <c r="A3772" s="29"/>
      <c r="B3772" s="30"/>
    </row>
    <row r="3773" spans="1:13">
      <c r="A3773" s="29"/>
      <c r="B3773" s="30"/>
    </row>
    <row r="3774" spans="1:13">
      <c r="A3774" s="29"/>
      <c r="B3774" s="30"/>
    </row>
    <row r="3775" spans="1:13">
      <c r="A3775" s="29"/>
      <c r="B3775" s="30"/>
    </row>
    <row r="3776" spans="1:13">
      <c r="A3776" s="29"/>
      <c r="B3776" s="30"/>
    </row>
    <row r="3777" spans="1:2">
      <c r="A3777" s="29"/>
      <c r="B3777" s="30"/>
    </row>
    <row r="3778" spans="1:2">
      <c r="A3778" s="29"/>
      <c r="B3778" s="30"/>
    </row>
    <row r="3779" spans="1:2">
      <c r="A3779" s="29"/>
      <c r="B3779" s="30"/>
    </row>
    <row r="3780" spans="1:2">
      <c r="A3780" s="29"/>
      <c r="B3780" s="30"/>
    </row>
    <row r="3781" spans="1:2">
      <c r="A3781" s="29"/>
      <c r="B3781" s="30"/>
    </row>
    <row r="3782" spans="1:2">
      <c r="A3782" s="29"/>
      <c r="B3782" s="30"/>
    </row>
    <row r="3783" spans="1:2">
      <c r="A3783" s="29"/>
      <c r="B3783" s="30"/>
    </row>
    <row r="3784" spans="1:2">
      <c r="A3784" s="29"/>
      <c r="B3784" s="30"/>
    </row>
    <row r="3785" spans="1:2">
      <c r="A3785" s="29"/>
      <c r="B3785" s="30"/>
    </row>
    <row r="3786" spans="1:2">
      <c r="A3786" s="29"/>
      <c r="B3786" s="30"/>
    </row>
    <row r="3787" spans="1:2">
      <c r="A3787" s="29"/>
      <c r="B3787" s="30"/>
    </row>
    <row r="3788" spans="1:2">
      <c r="A3788" s="29"/>
      <c r="B3788" s="30"/>
    </row>
    <row r="3789" spans="1:2">
      <c r="A3789" s="29"/>
      <c r="B3789" s="30"/>
    </row>
    <row r="3790" spans="1:2">
      <c r="A3790" s="29"/>
      <c r="B3790" s="30"/>
    </row>
    <row r="3791" spans="1:2">
      <c r="A3791" s="29"/>
      <c r="B3791" s="30"/>
    </row>
    <row r="3792" spans="1:2">
      <c r="A3792" s="29"/>
      <c r="B3792" s="30"/>
    </row>
    <row r="3793" spans="1:2">
      <c r="A3793" s="29"/>
      <c r="B3793" s="30"/>
    </row>
    <row r="3794" spans="1:2">
      <c r="A3794" s="29"/>
      <c r="B3794" s="30"/>
    </row>
    <row r="3795" spans="1:2">
      <c r="A3795" s="29"/>
      <c r="B3795" s="30"/>
    </row>
    <row r="3796" spans="1:2">
      <c r="A3796" s="29"/>
      <c r="B3796" s="30"/>
    </row>
    <row r="3797" spans="1:2">
      <c r="A3797" s="29"/>
      <c r="B3797" s="30"/>
    </row>
    <row r="3798" spans="1:2">
      <c r="A3798" s="29"/>
      <c r="B3798" s="30"/>
    </row>
    <row r="3799" spans="1:2">
      <c r="A3799" s="29"/>
      <c r="B3799" s="30"/>
    </row>
    <row r="3800" spans="1:2">
      <c r="A3800" s="29"/>
      <c r="B3800" s="30"/>
    </row>
    <row r="3801" spans="1:2">
      <c r="A3801" s="29"/>
      <c r="B3801" s="30"/>
    </row>
    <row r="3802" spans="1:2">
      <c r="A3802" s="29"/>
      <c r="B3802" s="30"/>
    </row>
    <row r="3803" spans="1:2">
      <c r="A3803" s="29"/>
      <c r="B3803" s="30"/>
    </row>
    <row r="3804" spans="1:2">
      <c r="A3804" s="29"/>
      <c r="B3804" s="30"/>
    </row>
    <row r="3805" spans="1:2">
      <c r="A3805" s="29"/>
      <c r="B3805" s="30"/>
    </row>
    <row r="3806" spans="1:2">
      <c r="A3806" s="29"/>
      <c r="B3806" s="30"/>
    </row>
    <row r="3807" spans="1:2">
      <c r="A3807" s="29"/>
      <c r="B3807" s="30"/>
    </row>
    <row r="3808" spans="1:2">
      <c r="A3808" s="29"/>
      <c r="B3808" s="30"/>
    </row>
    <row r="3809" spans="1:2">
      <c r="A3809" s="29"/>
      <c r="B3809" s="30"/>
    </row>
    <row r="3810" spans="1:2">
      <c r="A3810" s="29"/>
      <c r="B3810" s="30"/>
    </row>
    <row r="3811" spans="1:2">
      <c r="A3811" s="29"/>
      <c r="B3811" s="30"/>
    </row>
    <row r="3812" spans="1:2">
      <c r="A3812" s="29"/>
      <c r="B3812" s="30"/>
    </row>
    <row r="3813" spans="1:2">
      <c r="A3813" s="29"/>
      <c r="B3813" s="30"/>
    </row>
    <row r="3814" spans="1:2">
      <c r="A3814" s="29"/>
      <c r="B3814" s="30"/>
    </row>
    <row r="3815" spans="1:2">
      <c r="A3815" s="29"/>
      <c r="B3815" s="30"/>
    </row>
    <row r="3816" spans="1:2">
      <c r="A3816" s="29"/>
      <c r="B3816" s="30"/>
    </row>
    <row r="3817" spans="1:2">
      <c r="A3817" s="29"/>
      <c r="B3817" s="30"/>
    </row>
    <row r="3818" spans="1:2">
      <c r="A3818" s="29"/>
      <c r="B3818" s="30"/>
    </row>
    <row r="3819" spans="1:2">
      <c r="A3819" s="29"/>
      <c r="B3819" s="30"/>
    </row>
    <row r="3820" spans="1:2">
      <c r="A3820" s="29"/>
      <c r="B3820" s="30"/>
    </row>
    <row r="3821" spans="1:2">
      <c r="A3821" s="29"/>
      <c r="B3821" s="30"/>
    </row>
    <row r="3822" spans="1:2">
      <c r="A3822" s="29"/>
      <c r="B3822" s="30"/>
    </row>
    <row r="3823" spans="1:2">
      <c r="A3823" s="29"/>
      <c r="B3823" s="30"/>
    </row>
    <row r="3824" spans="1:2">
      <c r="A3824" s="29"/>
      <c r="B3824" s="30"/>
    </row>
    <row r="3825" spans="1:2">
      <c r="A3825" s="29"/>
      <c r="B3825" s="30"/>
    </row>
    <row r="3826" spans="1:2">
      <c r="A3826" s="29"/>
      <c r="B3826" s="30"/>
    </row>
    <row r="3827" spans="1:2">
      <c r="A3827" s="29"/>
      <c r="B3827" s="30"/>
    </row>
    <row r="3828" spans="1:2">
      <c r="A3828" s="29"/>
      <c r="B3828" s="30"/>
    </row>
    <row r="3829" spans="1:2">
      <c r="A3829" s="29"/>
      <c r="B3829" s="30"/>
    </row>
    <row r="3830" spans="1:2">
      <c r="A3830" s="29"/>
      <c r="B3830" s="30"/>
    </row>
    <row r="3831" spans="1:2">
      <c r="A3831" s="29"/>
      <c r="B3831" s="30"/>
    </row>
    <row r="3832" spans="1:2">
      <c r="A3832" s="29"/>
      <c r="B3832" s="30"/>
    </row>
    <row r="3833" spans="1:2">
      <c r="A3833" s="29"/>
      <c r="B3833" s="30"/>
    </row>
    <row r="3834" spans="1:2">
      <c r="A3834" s="29"/>
      <c r="B3834" s="30"/>
    </row>
    <row r="3835" spans="1:2">
      <c r="A3835" s="29"/>
      <c r="B3835" s="30"/>
    </row>
    <row r="3836" spans="1:2">
      <c r="A3836" s="29"/>
      <c r="B3836" s="30"/>
    </row>
    <row r="3837" spans="1:2">
      <c r="A3837" s="29"/>
      <c r="B3837" s="30"/>
    </row>
    <row r="3838" spans="1:2">
      <c r="A3838" s="29"/>
      <c r="B3838" s="30"/>
    </row>
    <row r="3839" spans="1:2">
      <c r="A3839" s="29"/>
      <c r="B3839" s="30"/>
    </row>
    <row r="3840" spans="1:2">
      <c r="A3840" s="29"/>
      <c r="B3840" s="30"/>
    </row>
    <row r="3841" spans="1:13">
      <c r="A3841" s="29"/>
      <c r="B3841" s="30"/>
    </row>
    <row r="3842" spans="1:13">
      <c r="A3842" s="29"/>
      <c r="B3842" s="30"/>
    </row>
    <row r="3843" spans="1:13">
      <c r="A3843" s="29"/>
      <c r="B3843" s="30"/>
    </row>
    <row r="3844" spans="1:13">
      <c r="A3844" s="29"/>
      <c r="B3844" s="30"/>
    </row>
    <row r="3845" spans="1:13">
      <c r="A3845" s="29"/>
      <c r="B3845" s="30"/>
    </row>
    <row r="3846" spans="1:13">
      <c r="A3846" s="29"/>
      <c r="B3846" s="30"/>
      <c r="M3846" s="30"/>
    </row>
    <row r="3847" spans="1:13">
      <c r="A3847" s="29"/>
      <c r="B3847" s="30"/>
    </row>
    <row r="3848" spans="1:13">
      <c r="A3848" s="29"/>
      <c r="B3848" s="30"/>
    </row>
    <row r="3849" spans="1:13">
      <c r="A3849" s="29"/>
      <c r="B3849" s="30"/>
    </row>
    <row r="3850" spans="1:13">
      <c r="A3850" s="29"/>
      <c r="B3850" s="30"/>
    </row>
    <row r="3851" spans="1:13">
      <c r="A3851" s="29"/>
      <c r="B3851" s="30"/>
      <c r="M3851" s="30"/>
    </row>
    <row r="3852" spans="1:13">
      <c r="A3852" s="29"/>
      <c r="B3852" s="30"/>
    </row>
    <row r="3853" spans="1:13">
      <c r="A3853" s="29"/>
      <c r="B3853" s="30"/>
    </row>
    <row r="3854" spans="1:13">
      <c r="A3854" s="29"/>
      <c r="B3854" s="30"/>
    </row>
    <row r="3855" spans="1:13">
      <c r="A3855" s="29"/>
      <c r="B3855" s="30"/>
    </row>
    <row r="3856" spans="1:13">
      <c r="A3856" s="29"/>
      <c r="B3856" s="30"/>
    </row>
    <row r="3857" spans="1:13">
      <c r="A3857" s="29"/>
      <c r="B3857" s="30"/>
    </row>
    <row r="3858" spans="1:13">
      <c r="A3858" s="29"/>
      <c r="B3858" s="30"/>
    </row>
    <row r="3859" spans="1:13">
      <c r="A3859" s="29"/>
      <c r="B3859" s="30"/>
    </row>
    <row r="3860" spans="1:13">
      <c r="A3860" s="29"/>
      <c r="B3860" s="30"/>
    </row>
    <row r="3861" spans="1:13">
      <c r="A3861" s="29"/>
      <c r="B3861" s="30"/>
    </row>
    <row r="3862" spans="1:13">
      <c r="A3862" s="29"/>
      <c r="B3862" s="30"/>
    </row>
    <row r="3863" spans="1:13">
      <c r="A3863" s="29"/>
      <c r="B3863" s="30"/>
    </row>
    <row r="3864" spans="1:13">
      <c r="A3864" s="29"/>
      <c r="B3864" s="30"/>
      <c r="M3864" s="30"/>
    </row>
    <row r="3865" spans="1:13">
      <c r="A3865" s="29"/>
      <c r="B3865" s="30"/>
    </row>
    <row r="3866" spans="1:13">
      <c r="A3866" s="29"/>
      <c r="B3866" s="30"/>
    </row>
    <row r="3867" spans="1:13">
      <c r="A3867" s="29"/>
      <c r="B3867" s="30"/>
    </row>
    <row r="3868" spans="1:13">
      <c r="A3868" s="29"/>
      <c r="B3868" s="30"/>
    </row>
    <row r="3869" spans="1:13">
      <c r="A3869" s="29"/>
      <c r="B3869" s="30"/>
    </row>
    <row r="3870" spans="1:13">
      <c r="A3870" s="29"/>
      <c r="B3870" s="30"/>
    </row>
    <row r="3871" spans="1:13">
      <c r="A3871" s="29"/>
      <c r="B3871" s="30"/>
      <c r="M3871" s="30"/>
    </row>
    <row r="3872" spans="1:13">
      <c r="A3872" s="29"/>
      <c r="B3872" s="30"/>
    </row>
    <row r="3873" spans="1:2">
      <c r="A3873" s="29"/>
      <c r="B3873" s="30"/>
    </row>
    <row r="3874" spans="1:2">
      <c r="A3874" s="29"/>
      <c r="B3874" s="30"/>
    </row>
    <row r="3875" spans="1:2">
      <c r="A3875" s="29"/>
      <c r="B3875" s="30"/>
    </row>
    <row r="3876" spans="1:2">
      <c r="A3876" s="29"/>
      <c r="B3876" s="30"/>
    </row>
    <row r="3877" spans="1:2">
      <c r="A3877" s="29"/>
      <c r="B3877" s="30"/>
    </row>
    <row r="3878" spans="1:2">
      <c r="A3878" s="29"/>
      <c r="B3878" s="30"/>
    </row>
    <row r="3879" spans="1:2">
      <c r="A3879" s="29"/>
      <c r="B3879" s="30"/>
    </row>
    <row r="3880" spans="1:2">
      <c r="A3880" s="29"/>
      <c r="B3880" s="30"/>
    </row>
    <row r="3881" spans="1:2">
      <c r="A3881" s="29"/>
      <c r="B3881" s="30"/>
    </row>
    <row r="3882" spans="1:2">
      <c r="A3882" s="29"/>
      <c r="B3882" s="30"/>
    </row>
    <row r="3883" spans="1:2">
      <c r="A3883" s="29"/>
      <c r="B3883" s="30"/>
    </row>
    <row r="3884" spans="1:2">
      <c r="A3884" s="29"/>
      <c r="B3884" s="30"/>
    </row>
    <row r="3885" spans="1:2">
      <c r="A3885" s="29"/>
      <c r="B3885" s="30"/>
    </row>
    <row r="3886" spans="1:2">
      <c r="A3886" s="29"/>
      <c r="B3886" s="30"/>
    </row>
    <row r="3887" spans="1:2">
      <c r="A3887" s="29"/>
      <c r="B3887" s="30"/>
    </row>
    <row r="3888" spans="1:2">
      <c r="A3888" s="29"/>
      <c r="B3888" s="30"/>
    </row>
    <row r="3889" spans="1:2">
      <c r="A3889" s="29"/>
      <c r="B3889" s="30"/>
    </row>
    <row r="3890" spans="1:2">
      <c r="A3890" s="29"/>
      <c r="B3890" s="30"/>
    </row>
    <row r="3891" spans="1:2">
      <c r="A3891" s="29"/>
      <c r="B3891" s="30"/>
    </row>
    <row r="3892" spans="1:2">
      <c r="A3892" s="29"/>
      <c r="B3892" s="30"/>
    </row>
    <row r="3893" spans="1:2">
      <c r="A3893" s="29"/>
      <c r="B3893" s="30"/>
    </row>
    <row r="3894" spans="1:2">
      <c r="A3894" s="29"/>
      <c r="B3894" s="30"/>
    </row>
    <row r="3895" spans="1:2">
      <c r="A3895" s="29"/>
      <c r="B3895" s="30"/>
    </row>
    <row r="3896" spans="1:2">
      <c r="A3896" s="29"/>
      <c r="B3896" s="30"/>
    </row>
    <row r="3897" spans="1:2">
      <c r="A3897" s="29"/>
      <c r="B3897" s="30"/>
    </row>
    <row r="3898" spans="1:2">
      <c r="A3898" s="29"/>
      <c r="B3898" s="30"/>
    </row>
    <row r="3899" spans="1:2">
      <c r="A3899" s="29"/>
      <c r="B3899" s="30"/>
    </row>
    <row r="3900" spans="1:2">
      <c r="A3900" s="29"/>
      <c r="B3900" s="30"/>
    </row>
    <row r="3901" spans="1:2">
      <c r="A3901" s="29"/>
      <c r="B3901" s="30"/>
    </row>
    <row r="3902" spans="1:2">
      <c r="A3902" s="29"/>
      <c r="B3902" s="30"/>
    </row>
    <row r="3903" spans="1:2">
      <c r="A3903" s="29"/>
      <c r="B3903" s="30"/>
    </row>
    <row r="3904" spans="1:2">
      <c r="A3904" s="29"/>
      <c r="B3904" s="30"/>
    </row>
    <row r="3905" spans="1:2">
      <c r="A3905" s="29"/>
      <c r="B3905" s="30"/>
    </row>
    <row r="3906" spans="1:2">
      <c r="A3906" s="29"/>
      <c r="B3906" s="30"/>
    </row>
    <row r="3907" spans="1:2">
      <c r="A3907" s="29"/>
      <c r="B3907" s="30"/>
    </row>
    <row r="3908" spans="1:2">
      <c r="A3908" s="29"/>
      <c r="B3908" s="30"/>
    </row>
    <row r="3909" spans="1:2">
      <c r="A3909" s="29"/>
      <c r="B3909" s="30"/>
    </row>
    <row r="3910" spans="1:2">
      <c r="A3910" s="29"/>
      <c r="B3910" s="30"/>
    </row>
    <row r="3911" spans="1:2">
      <c r="A3911" s="29"/>
      <c r="B3911" s="30"/>
    </row>
    <row r="3912" spans="1:2">
      <c r="A3912" s="29"/>
      <c r="B3912" s="30"/>
    </row>
    <row r="3913" spans="1:2">
      <c r="A3913" s="29"/>
      <c r="B3913" s="30"/>
    </row>
    <row r="3914" spans="1:2">
      <c r="A3914" s="29"/>
      <c r="B3914" s="30"/>
    </row>
    <row r="3915" spans="1:2">
      <c r="A3915" s="29"/>
      <c r="B3915" s="30"/>
    </row>
    <row r="3916" spans="1:2">
      <c r="A3916" s="29"/>
      <c r="B3916" s="30"/>
    </row>
    <row r="3917" spans="1:2">
      <c r="A3917" s="29"/>
      <c r="B3917" s="30"/>
    </row>
    <row r="3918" spans="1:2">
      <c r="A3918" s="29"/>
      <c r="B3918" s="30"/>
    </row>
    <row r="3919" spans="1:2">
      <c r="A3919" s="29"/>
      <c r="B3919" s="30"/>
    </row>
    <row r="3920" spans="1:2">
      <c r="A3920" s="29"/>
      <c r="B3920" s="30"/>
    </row>
    <row r="3921" spans="1:2">
      <c r="A3921" s="29"/>
      <c r="B3921" s="30"/>
    </row>
    <row r="3922" spans="1:2">
      <c r="A3922" s="29"/>
      <c r="B3922" s="30"/>
    </row>
    <row r="3923" spans="1:2">
      <c r="A3923" s="29"/>
      <c r="B3923" s="30"/>
    </row>
    <row r="3924" spans="1:2">
      <c r="A3924" s="29"/>
      <c r="B3924" s="30"/>
    </row>
    <row r="3925" spans="1:2">
      <c r="A3925" s="29"/>
      <c r="B3925" s="30"/>
    </row>
    <row r="3926" spans="1:2">
      <c r="A3926" s="29"/>
      <c r="B3926" s="30"/>
    </row>
    <row r="3927" spans="1:2">
      <c r="A3927" s="29"/>
      <c r="B3927" s="30"/>
    </row>
    <row r="3928" spans="1:2">
      <c r="A3928" s="29"/>
      <c r="B3928" s="30"/>
    </row>
    <row r="3929" spans="1:2">
      <c r="A3929" s="29"/>
      <c r="B3929" s="30"/>
    </row>
    <row r="3930" spans="1:2">
      <c r="A3930" s="29"/>
      <c r="B3930" s="30"/>
    </row>
    <row r="3931" spans="1:2">
      <c r="A3931" s="29"/>
      <c r="B3931" s="30"/>
    </row>
    <row r="3932" spans="1:2">
      <c r="A3932" s="29"/>
      <c r="B3932" s="30"/>
    </row>
    <row r="3933" spans="1:2">
      <c r="A3933" s="29"/>
      <c r="B3933" s="30"/>
    </row>
    <row r="3934" spans="1:2">
      <c r="A3934" s="29"/>
      <c r="B3934" s="30"/>
    </row>
    <row r="3935" spans="1:2">
      <c r="A3935" s="29"/>
      <c r="B3935" s="30"/>
    </row>
    <row r="3936" spans="1:2">
      <c r="A3936" s="29"/>
      <c r="B3936" s="30"/>
    </row>
    <row r="3937" spans="1:2">
      <c r="A3937" s="29"/>
      <c r="B3937" s="30"/>
    </row>
    <row r="3938" spans="1:2">
      <c r="A3938" s="29"/>
      <c r="B3938" s="30"/>
    </row>
    <row r="3939" spans="1:2">
      <c r="A3939" s="29"/>
      <c r="B3939" s="30"/>
    </row>
    <row r="3940" spans="1:2">
      <c r="A3940" s="29"/>
      <c r="B3940" s="30"/>
    </row>
    <row r="3941" spans="1:2">
      <c r="A3941" s="29"/>
      <c r="B3941" s="30"/>
    </row>
    <row r="3942" spans="1:2">
      <c r="A3942" s="29"/>
      <c r="B3942" s="30"/>
    </row>
    <row r="3943" spans="1:2">
      <c r="A3943" s="29"/>
      <c r="B3943" s="30"/>
    </row>
    <row r="3944" spans="1:2">
      <c r="A3944" s="29"/>
      <c r="B3944" s="30"/>
    </row>
    <row r="3945" spans="1:2">
      <c r="A3945" s="29"/>
      <c r="B3945" s="30"/>
    </row>
    <row r="3946" spans="1:2">
      <c r="A3946" s="29"/>
      <c r="B3946" s="30"/>
    </row>
    <row r="3947" spans="1:2">
      <c r="A3947" s="29"/>
      <c r="B3947" s="30"/>
    </row>
    <row r="3948" spans="1:2">
      <c r="A3948" s="29"/>
      <c r="B3948" s="30"/>
    </row>
    <row r="3949" spans="1:2">
      <c r="A3949" s="29"/>
      <c r="B3949" s="30"/>
    </row>
    <row r="3950" spans="1:2">
      <c r="A3950" s="29"/>
      <c r="B3950" s="30"/>
    </row>
    <row r="3951" spans="1:2">
      <c r="A3951" s="29"/>
      <c r="B3951" s="30"/>
    </row>
    <row r="3952" spans="1:2">
      <c r="A3952" s="29"/>
      <c r="B3952" s="30"/>
    </row>
    <row r="3953" spans="1:2">
      <c r="A3953" s="29"/>
      <c r="B3953" s="30"/>
    </row>
    <row r="3954" spans="1:2">
      <c r="A3954" s="29"/>
      <c r="B3954" s="30"/>
    </row>
    <row r="3955" spans="1:2">
      <c r="A3955" s="29"/>
      <c r="B3955" s="30"/>
    </row>
    <row r="3956" spans="1:2">
      <c r="A3956" s="29"/>
      <c r="B3956" s="30"/>
    </row>
    <row r="3957" spans="1:2">
      <c r="A3957" s="29"/>
      <c r="B3957" s="30"/>
    </row>
    <row r="3958" spans="1:2">
      <c r="A3958" s="29"/>
      <c r="B3958" s="30"/>
    </row>
    <row r="3959" spans="1:2">
      <c r="A3959" s="29"/>
      <c r="B3959" s="30"/>
    </row>
    <row r="3960" spans="1:2">
      <c r="A3960" s="29"/>
      <c r="B3960" s="30"/>
    </row>
    <row r="3961" spans="1:2">
      <c r="A3961" s="29"/>
      <c r="B3961" s="30"/>
    </row>
    <row r="3962" spans="1:2">
      <c r="A3962" s="29"/>
      <c r="B3962" s="30"/>
    </row>
    <row r="3963" spans="1:2">
      <c r="A3963" s="29"/>
      <c r="B3963" s="30"/>
    </row>
    <row r="3964" spans="1:2">
      <c r="A3964" s="29"/>
      <c r="B3964" s="30"/>
    </row>
    <row r="3965" spans="1:2">
      <c r="A3965" s="29"/>
      <c r="B3965" s="30"/>
    </row>
    <row r="3966" spans="1:2">
      <c r="A3966" s="29"/>
      <c r="B3966" s="30"/>
    </row>
    <row r="3967" spans="1:2">
      <c r="A3967" s="29"/>
      <c r="B3967" s="30"/>
    </row>
    <row r="3968" spans="1:2">
      <c r="A3968" s="29"/>
      <c r="B3968" s="30"/>
    </row>
    <row r="3969" spans="1:2">
      <c r="A3969" s="29"/>
      <c r="B3969" s="30"/>
    </row>
    <row r="3970" spans="1:2">
      <c r="A3970" s="29"/>
      <c r="B3970" s="30"/>
    </row>
    <row r="3971" spans="1:2">
      <c r="A3971" s="29"/>
      <c r="B3971" s="30"/>
    </row>
    <row r="3972" spans="1:2">
      <c r="A3972" s="29"/>
      <c r="B3972" s="30"/>
    </row>
    <row r="3973" spans="1:2">
      <c r="A3973" s="29"/>
      <c r="B3973" s="30"/>
    </row>
    <row r="3974" spans="1:2">
      <c r="A3974" s="29"/>
      <c r="B3974" s="30"/>
    </row>
    <row r="3975" spans="1:2">
      <c r="A3975" s="29"/>
      <c r="B3975" s="30"/>
    </row>
    <row r="3976" spans="1:2">
      <c r="A3976" s="29"/>
      <c r="B3976" s="30"/>
    </row>
    <row r="3977" spans="1:2">
      <c r="A3977" s="29"/>
      <c r="B3977" s="30"/>
    </row>
    <row r="3978" spans="1:2">
      <c r="A3978" s="29"/>
      <c r="B3978" s="30"/>
    </row>
    <row r="3979" spans="1:2">
      <c r="A3979" s="29"/>
      <c r="B3979" s="30"/>
    </row>
    <row r="3980" spans="1:2">
      <c r="A3980" s="29"/>
      <c r="B3980" s="30"/>
    </row>
    <row r="3981" spans="1:2">
      <c r="A3981" s="29"/>
      <c r="B3981" s="30"/>
    </row>
    <row r="3982" spans="1:2">
      <c r="A3982" s="29"/>
      <c r="B3982" s="30"/>
    </row>
    <row r="3983" spans="1:2">
      <c r="A3983" s="29"/>
      <c r="B3983" s="30"/>
    </row>
    <row r="3984" spans="1:2">
      <c r="A3984" s="29"/>
      <c r="B3984" s="30"/>
    </row>
    <row r="3985" spans="1:13">
      <c r="A3985" s="29"/>
      <c r="B3985" s="30"/>
    </row>
    <row r="3986" spans="1:13">
      <c r="A3986" s="29"/>
      <c r="B3986" s="30"/>
    </row>
    <row r="3987" spans="1:13">
      <c r="A3987" s="29"/>
      <c r="B3987" s="30"/>
    </row>
    <row r="3988" spans="1:13">
      <c r="A3988" s="29"/>
      <c r="B3988" s="30"/>
    </row>
    <row r="3989" spans="1:13">
      <c r="A3989" s="29"/>
      <c r="B3989" s="30"/>
    </row>
    <row r="3990" spans="1:13">
      <c r="A3990" s="29"/>
      <c r="B3990" s="30"/>
    </row>
    <row r="3991" spans="1:13">
      <c r="A3991" s="29"/>
      <c r="B3991" s="30"/>
    </row>
    <row r="3992" spans="1:13">
      <c r="A3992" s="29"/>
      <c r="B3992" s="30"/>
    </row>
    <row r="3993" spans="1:13">
      <c r="A3993" s="29"/>
      <c r="B3993" s="30"/>
    </row>
    <row r="3994" spans="1:13">
      <c r="A3994" s="29"/>
      <c r="B3994" s="30"/>
    </row>
    <row r="3995" spans="1:13">
      <c r="A3995" s="29"/>
      <c r="B3995" s="30"/>
      <c r="M3995" s="30"/>
    </row>
    <row r="3996" spans="1:13">
      <c r="A3996" s="29"/>
      <c r="B3996" s="30"/>
    </row>
    <row r="3997" spans="1:13">
      <c r="A3997" s="29"/>
      <c r="B3997" s="30"/>
    </row>
    <row r="3998" spans="1:13">
      <c r="A3998" s="29"/>
      <c r="B3998" s="30"/>
    </row>
    <row r="3999" spans="1:13">
      <c r="A3999" s="29"/>
      <c r="B3999" s="30"/>
    </row>
    <row r="4000" spans="1:13">
      <c r="A4000" s="29"/>
      <c r="B4000" s="30"/>
    </row>
    <row r="4001" spans="1:2">
      <c r="A4001" s="29"/>
      <c r="B4001" s="30"/>
    </row>
    <row r="4002" spans="1:2">
      <c r="A4002" s="29"/>
      <c r="B4002" s="30"/>
    </row>
    <row r="4003" spans="1:2">
      <c r="A4003" s="29"/>
      <c r="B4003" s="30"/>
    </row>
    <row r="4004" spans="1:2">
      <c r="A4004" s="29"/>
      <c r="B4004" s="30"/>
    </row>
    <row r="4005" spans="1:2">
      <c r="A4005" s="29"/>
      <c r="B4005" s="30"/>
    </row>
    <row r="4006" spans="1:2">
      <c r="A4006" s="29"/>
      <c r="B4006" s="30"/>
    </row>
    <row r="4007" spans="1:2">
      <c r="A4007" s="29"/>
      <c r="B4007" s="30"/>
    </row>
    <row r="4008" spans="1:2">
      <c r="A4008" s="29"/>
      <c r="B4008" s="30"/>
    </row>
    <row r="4009" spans="1:2">
      <c r="A4009" s="29"/>
      <c r="B4009" s="30"/>
    </row>
    <row r="4010" spans="1:2">
      <c r="A4010" s="29"/>
      <c r="B4010" s="30"/>
    </row>
    <row r="4011" spans="1:2">
      <c r="A4011" s="29"/>
      <c r="B4011" s="30"/>
    </row>
    <row r="4012" spans="1:2">
      <c r="A4012" s="29"/>
      <c r="B4012" s="30"/>
    </row>
    <row r="4013" spans="1:2">
      <c r="A4013" s="29"/>
      <c r="B4013" s="30"/>
    </row>
    <row r="4014" spans="1:2">
      <c r="A4014" s="29"/>
      <c r="B4014" s="30"/>
    </row>
    <row r="4015" spans="1:2">
      <c r="A4015" s="29"/>
      <c r="B4015" s="30"/>
    </row>
    <row r="4016" spans="1:2">
      <c r="A4016" s="29"/>
      <c r="B4016" s="30"/>
    </row>
    <row r="4017" spans="1:2">
      <c r="A4017" s="29"/>
      <c r="B4017" s="30"/>
    </row>
    <row r="4018" spans="1:2">
      <c r="A4018" s="29"/>
      <c r="B4018" s="30"/>
    </row>
    <row r="4019" spans="1:2">
      <c r="A4019" s="29"/>
      <c r="B4019" s="30"/>
    </row>
    <row r="4020" spans="1:2">
      <c r="A4020" s="29"/>
      <c r="B4020" s="30"/>
    </row>
    <row r="4021" spans="1:2">
      <c r="A4021" s="29"/>
      <c r="B4021" s="30"/>
    </row>
    <row r="4022" spans="1:2">
      <c r="A4022" s="29"/>
      <c r="B4022" s="30"/>
    </row>
    <row r="4023" spans="1:2">
      <c r="A4023" s="29"/>
      <c r="B4023" s="30"/>
    </row>
    <row r="4024" spans="1:2">
      <c r="A4024" s="29"/>
      <c r="B4024" s="30"/>
    </row>
    <row r="4025" spans="1:2">
      <c r="A4025" s="29"/>
      <c r="B4025" s="30"/>
    </row>
    <row r="4026" spans="1:2">
      <c r="A4026" s="29"/>
      <c r="B4026" s="30"/>
    </row>
    <row r="4027" spans="1:2">
      <c r="A4027" s="29"/>
      <c r="B4027" s="30"/>
    </row>
    <row r="4028" spans="1:2">
      <c r="A4028" s="29"/>
      <c r="B4028" s="30"/>
    </row>
    <row r="4029" spans="1:2">
      <c r="A4029" s="29"/>
      <c r="B4029" s="30"/>
    </row>
    <row r="4030" spans="1:2">
      <c r="A4030" s="29"/>
      <c r="B4030" s="30"/>
    </row>
    <row r="4031" spans="1:2">
      <c r="A4031" s="29"/>
      <c r="B4031" s="30"/>
    </row>
    <row r="4032" spans="1:2">
      <c r="A4032" s="29"/>
      <c r="B4032" s="30"/>
    </row>
    <row r="4033" spans="1:13">
      <c r="A4033" s="29"/>
      <c r="B4033" s="30"/>
    </row>
    <row r="4034" spans="1:13">
      <c r="A4034" s="29"/>
      <c r="B4034" s="30"/>
    </row>
    <row r="4035" spans="1:13">
      <c r="A4035" s="29"/>
      <c r="B4035" s="30"/>
    </row>
    <row r="4036" spans="1:13">
      <c r="A4036" s="29"/>
      <c r="B4036" s="30"/>
    </row>
    <row r="4037" spans="1:13">
      <c r="A4037" s="29"/>
      <c r="B4037" s="30"/>
    </row>
    <row r="4038" spans="1:13">
      <c r="A4038" s="29"/>
      <c r="B4038" s="30"/>
    </row>
    <row r="4039" spans="1:13">
      <c r="A4039" s="29"/>
      <c r="B4039" s="30"/>
    </row>
    <row r="4040" spans="1:13">
      <c r="A4040" s="29"/>
      <c r="B4040" s="30"/>
      <c r="M4040" s="30"/>
    </row>
    <row r="4041" spans="1:13">
      <c r="A4041" s="29"/>
      <c r="B4041" s="30"/>
    </row>
    <row r="4042" spans="1:13">
      <c r="A4042" s="29"/>
      <c r="B4042" s="30"/>
    </row>
    <row r="4043" spans="1:13">
      <c r="A4043" s="29"/>
      <c r="B4043" s="30"/>
    </row>
    <row r="4044" spans="1:13">
      <c r="A4044" s="29"/>
      <c r="B4044" s="30"/>
    </row>
    <row r="4045" spans="1:13">
      <c r="A4045" s="29"/>
      <c r="B4045" s="30"/>
    </row>
    <row r="4046" spans="1:13">
      <c r="A4046" s="29"/>
      <c r="B4046" s="30"/>
    </row>
    <row r="4047" spans="1:13">
      <c r="A4047" s="29"/>
      <c r="B4047" s="30"/>
    </row>
    <row r="4048" spans="1:13">
      <c r="A4048" s="29"/>
      <c r="B4048" s="30"/>
    </row>
    <row r="4049" spans="1:13">
      <c r="A4049" s="29"/>
      <c r="B4049" s="30"/>
    </row>
    <row r="4050" spans="1:13">
      <c r="A4050" s="29"/>
      <c r="B4050" s="30"/>
    </row>
    <row r="4051" spans="1:13">
      <c r="A4051" s="29"/>
      <c r="B4051" s="30"/>
    </row>
    <row r="4052" spans="1:13">
      <c r="A4052" s="29"/>
      <c r="B4052" s="30"/>
    </row>
    <row r="4053" spans="1:13">
      <c r="A4053" s="29"/>
      <c r="B4053" s="30"/>
    </row>
    <row r="4054" spans="1:13">
      <c r="A4054" s="29"/>
      <c r="B4054" s="30"/>
    </row>
    <row r="4055" spans="1:13">
      <c r="A4055" s="29"/>
      <c r="B4055" s="30"/>
    </row>
    <row r="4056" spans="1:13">
      <c r="A4056" s="29"/>
      <c r="B4056" s="30"/>
    </row>
    <row r="4057" spans="1:13">
      <c r="A4057" s="29"/>
      <c r="B4057" s="30"/>
    </row>
    <row r="4058" spans="1:13">
      <c r="A4058" s="29"/>
      <c r="B4058" s="30"/>
    </row>
    <row r="4059" spans="1:13">
      <c r="A4059" s="29"/>
      <c r="B4059" s="30"/>
    </row>
    <row r="4060" spans="1:13">
      <c r="A4060" s="29"/>
      <c r="B4060" s="30"/>
    </row>
    <row r="4061" spans="1:13">
      <c r="A4061" s="29"/>
      <c r="B4061" s="30"/>
    </row>
    <row r="4062" spans="1:13">
      <c r="A4062" s="29"/>
      <c r="B4062" s="30"/>
    </row>
    <row r="4063" spans="1:13">
      <c r="A4063" s="29"/>
      <c r="B4063" s="30"/>
      <c r="M4063" s="30"/>
    </row>
    <row r="4064" spans="1:13">
      <c r="A4064" s="29"/>
      <c r="B4064" s="30"/>
    </row>
    <row r="4065" spans="1:13">
      <c r="A4065" s="29"/>
      <c r="B4065" s="30"/>
    </row>
    <row r="4066" spans="1:13">
      <c r="A4066" s="29"/>
      <c r="B4066" s="30"/>
    </row>
    <row r="4067" spans="1:13">
      <c r="A4067" s="29"/>
      <c r="B4067" s="30"/>
    </row>
    <row r="4068" spans="1:13">
      <c r="A4068" s="29"/>
      <c r="B4068" s="30"/>
    </row>
    <row r="4069" spans="1:13">
      <c r="A4069" s="29"/>
      <c r="B4069" s="30"/>
    </row>
    <row r="4070" spans="1:13">
      <c r="A4070" s="29"/>
      <c r="B4070" s="30"/>
    </row>
    <row r="4071" spans="1:13">
      <c r="A4071" s="29"/>
      <c r="B4071" s="30"/>
      <c r="M4071" s="30"/>
    </row>
    <row r="4072" spans="1:13">
      <c r="A4072" s="29"/>
      <c r="B4072" s="30"/>
    </row>
    <row r="4073" spans="1:13">
      <c r="A4073" s="29"/>
      <c r="B4073" s="30"/>
    </row>
    <row r="4074" spans="1:13">
      <c r="A4074" s="29"/>
      <c r="B4074" s="30"/>
    </row>
    <row r="4075" spans="1:13">
      <c r="A4075" s="29"/>
      <c r="B4075" s="30"/>
    </row>
    <row r="4076" spans="1:13">
      <c r="A4076" s="29"/>
      <c r="B4076" s="30"/>
    </row>
    <row r="4077" spans="1:13">
      <c r="A4077" s="29"/>
      <c r="B4077" s="30"/>
    </row>
    <row r="4078" spans="1:13">
      <c r="A4078" s="29"/>
      <c r="B4078" s="30"/>
    </row>
    <row r="4079" spans="1:13">
      <c r="A4079" s="29"/>
      <c r="B4079" s="30"/>
    </row>
    <row r="4080" spans="1:13">
      <c r="A4080" s="29"/>
      <c r="B4080" s="30"/>
    </row>
    <row r="4081" spans="1:2">
      <c r="A4081" s="29"/>
      <c r="B4081" s="30"/>
    </row>
    <row r="4082" spans="1:2">
      <c r="A4082" s="29"/>
      <c r="B4082" s="30"/>
    </row>
    <row r="4083" spans="1:2">
      <c r="A4083" s="29"/>
      <c r="B4083" s="30"/>
    </row>
    <row r="4084" spans="1:2">
      <c r="A4084" s="29"/>
      <c r="B4084" s="30"/>
    </row>
    <row r="4085" spans="1:2">
      <c r="A4085" s="29"/>
      <c r="B4085" s="30"/>
    </row>
    <row r="4086" spans="1:2">
      <c r="A4086" s="29"/>
      <c r="B4086" s="30"/>
    </row>
    <row r="4087" spans="1:2">
      <c r="A4087" s="29"/>
      <c r="B4087" s="30"/>
    </row>
    <row r="4088" spans="1:2">
      <c r="A4088" s="29"/>
      <c r="B4088" s="30"/>
    </row>
    <row r="4089" spans="1:2">
      <c r="A4089" s="29"/>
      <c r="B4089" s="30"/>
    </row>
    <row r="4090" spans="1:2">
      <c r="A4090" s="29"/>
      <c r="B4090" s="30"/>
    </row>
    <row r="4091" spans="1:2">
      <c r="A4091" s="29"/>
      <c r="B4091" s="30"/>
    </row>
    <row r="4092" spans="1:2">
      <c r="A4092" s="29"/>
      <c r="B4092" s="30"/>
    </row>
    <row r="4093" spans="1:2">
      <c r="A4093" s="29"/>
      <c r="B4093" s="30"/>
    </row>
    <row r="4094" spans="1:2">
      <c r="A4094" s="29"/>
      <c r="B4094" s="30"/>
    </row>
    <row r="4095" spans="1:2">
      <c r="A4095" s="29"/>
      <c r="B4095" s="30"/>
    </row>
    <row r="4096" spans="1:2">
      <c r="A4096" s="29"/>
      <c r="B4096" s="30"/>
    </row>
    <row r="4097" spans="1:2">
      <c r="A4097" s="29"/>
      <c r="B4097" s="30"/>
    </row>
    <row r="4098" spans="1:2">
      <c r="A4098" s="29"/>
      <c r="B4098" s="30"/>
    </row>
    <row r="4099" spans="1:2">
      <c r="A4099" s="29"/>
      <c r="B4099" s="30"/>
    </row>
    <row r="4100" spans="1:2">
      <c r="A4100" s="29"/>
      <c r="B4100" s="30"/>
    </row>
    <row r="4101" spans="1:2">
      <c r="A4101" s="29"/>
      <c r="B4101" s="30"/>
    </row>
    <row r="4102" spans="1:2">
      <c r="A4102" s="29"/>
      <c r="B4102" s="30"/>
    </row>
    <row r="4103" spans="1:2">
      <c r="A4103" s="29"/>
      <c r="B4103" s="30"/>
    </row>
    <row r="4104" spans="1:2">
      <c r="A4104" s="29"/>
      <c r="B4104" s="30"/>
    </row>
    <row r="4105" spans="1:2">
      <c r="A4105" s="29"/>
      <c r="B4105" s="30"/>
    </row>
    <row r="4106" spans="1:2">
      <c r="A4106" s="29"/>
      <c r="B4106" s="30"/>
    </row>
    <row r="4107" spans="1:2">
      <c r="A4107" s="29"/>
      <c r="B4107" s="30"/>
    </row>
    <row r="4108" spans="1:2">
      <c r="A4108" s="29"/>
      <c r="B4108" s="30"/>
    </row>
    <row r="4109" spans="1:2">
      <c r="A4109" s="29"/>
      <c r="B4109" s="30"/>
    </row>
    <row r="4110" spans="1:2">
      <c r="A4110" s="29"/>
      <c r="B4110" s="30"/>
    </row>
    <row r="4111" spans="1:2">
      <c r="A4111" s="29"/>
      <c r="B4111" s="30"/>
    </row>
    <row r="4112" spans="1:2">
      <c r="A4112" s="29"/>
      <c r="B4112" s="30"/>
    </row>
    <row r="4113" spans="1:13">
      <c r="A4113" s="29"/>
      <c r="B4113" s="30"/>
    </row>
    <row r="4114" spans="1:13">
      <c r="A4114" s="29"/>
      <c r="B4114" s="30"/>
      <c r="M4114" s="30"/>
    </row>
    <row r="4115" spans="1:13">
      <c r="A4115" s="29"/>
      <c r="B4115" s="30"/>
    </row>
    <row r="4116" spans="1:13">
      <c r="A4116" s="29"/>
      <c r="B4116" s="30"/>
    </row>
    <row r="4117" spans="1:13">
      <c r="A4117" s="29"/>
      <c r="B4117" s="30"/>
    </row>
    <row r="4118" spans="1:13">
      <c r="A4118" s="29"/>
      <c r="B4118" s="30"/>
    </row>
    <row r="4119" spans="1:13">
      <c r="A4119" s="29"/>
      <c r="B4119" s="30"/>
    </row>
    <row r="4120" spans="1:13">
      <c r="A4120" s="29"/>
      <c r="B4120" s="30"/>
    </row>
    <row r="4121" spans="1:13">
      <c r="A4121" s="29"/>
      <c r="B4121" s="30"/>
    </row>
    <row r="4122" spans="1:13">
      <c r="A4122" s="29"/>
      <c r="B4122" s="30"/>
      <c r="M4122" s="30"/>
    </row>
    <row r="4123" spans="1:13">
      <c r="A4123" s="29"/>
      <c r="B4123" s="30"/>
    </row>
    <row r="4124" spans="1:13">
      <c r="A4124" s="29"/>
      <c r="B4124" s="30"/>
    </row>
    <row r="4125" spans="1:13">
      <c r="A4125" s="29"/>
      <c r="B4125" s="30"/>
    </row>
    <row r="4126" spans="1:13">
      <c r="A4126" s="29"/>
      <c r="B4126" s="30"/>
    </row>
    <row r="4127" spans="1:13">
      <c r="A4127" s="29"/>
      <c r="B4127" s="30"/>
    </row>
    <row r="4128" spans="1:13">
      <c r="A4128" s="29"/>
      <c r="B4128" s="30"/>
    </row>
    <row r="4129" spans="1:2">
      <c r="A4129" s="29"/>
      <c r="B4129" s="30"/>
    </row>
    <row r="4130" spans="1:2">
      <c r="A4130" s="29"/>
      <c r="B4130" s="30"/>
    </row>
    <row r="4131" spans="1:2">
      <c r="A4131" s="29"/>
      <c r="B4131" s="30"/>
    </row>
    <row r="4132" spans="1:2">
      <c r="A4132" s="29"/>
      <c r="B4132" s="30"/>
    </row>
    <row r="4133" spans="1:2">
      <c r="A4133" s="29"/>
      <c r="B4133" s="30"/>
    </row>
    <row r="4134" spans="1:2">
      <c r="A4134" s="29"/>
      <c r="B4134" s="30"/>
    </row>
    <row r="4135" spans="1:2">
      <c r="A4135" s="29"/>
      <c r="B4135" s="30"/>
    </row>
    <row r="4136" spans="1:2">
      <c r="A4136" s="29"/>
      <c r="B4136" s="30"/>
    </row>
    <row r="4137" spans="1:2">
      <c r="A4137" s="29"/>
      <c r="B4137" s="30"/>
    </row>
    <row r="4138" spans="1:2">
      <c r="A4138" s="29"/>
      <c r="B4138" s="30"/>
    </row>
    <row r="4139" spans="1:2">
      <c r="A4139" s="29"/>
      <c r="B4139" s="30"/>
    </row>
    <row r="4140" spans="1:2">
      <c r="A4140" s="29"/>
      <c r="B4140" s="30"/>
    </row>
    <row r="4141" spans="1:2">
      <c r="A4141" s="29"/>
      <c r="B4141" s="30"/>
    </row>
    <row r="4142" spans="1:2">
      <c r="A4142" s="29"/>
      <c r="B4142" s="30"/>
    </row>
    <row r="4143" spans="1:2">
      <c r="A4143" s="29"/>
      <c r="B4143" s="30"/>
    </row>
    <row r="4144" spans="1:2">
      <c r="A4144" s="29"/>
      <c r="B4144" s="30"/>
    </row>
    <row r="4145" spans="1:2">
      <c r="A4145" s="29"/>
      <c r="B4145" s="30"/>
    </row>
    <row r="4146" spans="1:2">
      <c r="A4146" s="29"/>
      <c r="B4146" s="30"/>
    </row>
    <row r="4147" spans="1:2">
      <c r="A4147" s="29"/>
      <c r="B4147" s="30"/>
    </row>
    <row r="4148" spans="1:2">
      <c r="A4148" s="29"/>
      <c r="B4148" s="30"/>
    </row>
    <row r="4149" spans="1:2">
      <c r="A4149" s="29"/>
      <c r="B4149" s="30"/>
    </row>
    <row r="4150" spans="1:2">
      <c r="A4150" s="29"/>
      <c r="B4150" s="30"/>
    </row>
    <row r="4151" spans="1:2">
      <c r="A4151" s="29"/>
      <c r="B4151" s="30"/>
    </row>
    <row r="4152" spans="1:2">
      <c r="A4152" s="29"/>
      <c r="B4152" s="30"/>
    </row>
    <row r="4153" spans="1:2">
      <c r="A4153" s="29"/>
      <c r="B4153" s="30"/>
    </row>
    <row r="4154" spans="1:2">
      <c r="A4154" s="29"/>
      <c r="B4154" s="30"/>
    </row>
    <row r="4155" spans="1:2">
      <c r="A4155" s="29"/>
      <c r="B4155" s="30"/>
    </row>
    <row r="4156" spans="1:2">
      <c r="A4156" s="29"/>
      <c r="B4156" s="30"/>
    </row>
    <row r="4157" spans="1:2">
      <c r="A4157" s="29"/>
      <c r="B4157" s="30"/>
    </row>
    <row r="4158" spans="1:2">
      <c r="A4158" s="29"/>
      <c r="B4158" s="30"/>
    </row>
    <row r="4159" spans="1:2">
      <c r="A4159" s="29"/>
      <c r="B4159" s="30"/>
    </row>
    <row r="4160" spans="1:2">
      <c r="A4160" s="29"/>
      <c r="B4160" s="30"/>
    </row>
    <row r="4161" spans="1:2">
      <c r="A4161" s="29"/>
      <c r="B4161" s="30"/>
    </row>
    <row r="4162" spans="1:2">
      <c r="A4162" s="29"/>
      <c r="B4162" s="30"/>
    </row>
    <row r="4163" spans="1:2">
      <c r="A4163" s="29"/>
      <c r="B4163" s="30"/>
    </row>
    <row r="4164" spans="1:2">
      <c r="A4164" s="29"/>
      <c r="B4164" s="30"/>
    </row>
    <row r="4165" spans="1:2">
      <c r="A4165" s="29"/>
      <c r="B4165" s="30"/>
    </row>
    <row r="4166" spans="1:2">
      <c r="A4166" s="29"/>
      <c r="B4166" s="30"/>
    </row>
    <row r="4167" spans="1:2">
      <c r="A4167" s="29"/>
      <c r="B4167" s="30"/>
    </row>
    <row r="4168" spans="1:2">
      <c r="A4168" s="29"/>
      <c r="B4168" s="30"/>
    </row>
    <row r="4169" spans="1:2">
      <c r="A4169" s="29"/>
      <c r="B4169" s="30"/>
    </row>
    <row r="4170" spans="1:2">
      <c r="A4170" s="29"/>
      <c r="B4170" s="30"/>
    </row>
    <row r="4171" spans="1:2">
      <c r="A4171" s="29"/>
      <c r="B4171" s="30"/>
    </row>
    <row r="4172" spans="1:2">
      <c r="A4172" s="29"/>
      <c r="B4172" s="30"/>
    </row>
    <row r="4173" spans="1:2">
      <c r="A4173" s="29"/>
      <c r="B4173" s="30"/>
    </row>
    <row r="4174" spans="1:2">
      <c r="A4174" s="29"/>
      <c r="B4174" s="30"/>
    </row>
    <row r="4175" spans="1:2">
      <c r="A4175" s="29"/>
      <c r="B4175" s="30"/>
    </row>
    <row r="4176" spans="1:2">
      <c r="A4176" s="29"/>
      <c r="B4176" s="30"/>
    </row>
    <row r="4177" spans="1:2">
      <c r="A4177" s="29"/>
      <c r="B4177" s="30"/>
    </row>
    <row r="4178" spans="1:2">
      <c r="A4178" s="29"/>
      <c r="B4178" s="30"/>
    </row>
    <row r="4179" spans="1:2">
      <c r="A4179" s="29"/>
      <c r="B4179" s="30"/>
    </row>
    <row r="4180" spans="1:2">
      <c r="A4180" s="29"/>
      <c r="B4180" s="30"/>
    </row>
    <row r="4181" spans="1:2">
      <c r="A4181" s="29"/>
      <c r="B4181" s="30"/>
    </row>
    <row r="4182" spans="1:2">
      <c r="A4182" s="29"/>
      <c r="B4182" s="30"/>
    </row>
    <row r="4183" spans="1:2">
      <c r="A4183" s="29"/>
      <c r="B4183" s="30"/>
    </row>
    <row r="4184" spans="1:2">
      <c r="A4184" s="29"/>
      <c r="B4184" s="30"/>
    </row>
    <row r="4185" spans="1:2">
      <c r="A4185" s="29"/>
      <c r="B4185" s="30"/>
    </row>
    <row r="4186" spans="1:2">
      <c r="A4186" s="29"/>
      <c r="B4186" s="30"/>
    </row>
    <row r="4187" spans="1:2">
      <c r="A4187" s="29"/>
      <c r="B4187" s="30"/>
    </row>
    <row r="4188" spans="1:2">
      <c r="A4188" s="29"/>
      <c r="B4188" s="30"/>
    </row>
    <row r="4189" spans="1:2">
      <c r="A4189" s="29"/>
      <c r="B4189" s="30"/>
    </row>
    <row r="4190" spans="1:2">
      <c r="A4190" s="29"/>
      <c r="B4190" s="30"/>
    </row>
    <row r="4191" spans="1:2">
      <c r="A4191" s="29"/>
      <c r="B4191" s="30"/>
    </row>
    <row r="4192" spans="1:2">
      <c r="A4192" s="29"/>
      <c r="B4192" s="30"/>
    </row>
    <row r="4193" spans="1:13">
      <c r="A4193" s="29"/>
      <c r="B4193" s="30"/>
    </row>
    <row r="4194" spans="1:13">
      <c r="A4194" s="29"/>
      <c r="B4194" s="30"/>
      <c r="M4194" s="30"/>
    </row>
    <row r="4195" spans="1:13">
      <c r="A4195" s="29"/>
      <c r="B4195" s="30"/>
    </row>
    <row r="4196" spans="1:13">
      <c r="A4196" s="29"/>
      <c r="B4196" s="30"/>
    </row>
    <row r="4197" spans="1:13">
      <c r="A4197" s="29"/>
      <c r="B4197" s="30"/>
    </row>
    <row r="4198" spans="1:13">
      <c r="A4198" s="29"/>
      <c r="B4198" s="30"/>
    </row>
    <row r="4199" spans="1:13">
      <c r="A4199" s="29"/>
      <c r="B4199" s="30"/>
    </row>
    <row r="4200" spans="1:13">
      <c r="A4200" s="29"/>
      <c r="B4200" s="30"/>
    </row>
    <row r="4201" spans="1:13">
      <c r="A4201" s="29"/>
      <c r="B4201" s="30"/>
    </row>
    <row r="4202" spans="1:13">
      <c r="A4202" s="29"/>
      <c r="B4202" s="30"/>
    </row>
    <row r="4203" spans="1:13">
      <c r="A4203" s="29"/>
      <c r="B4203" s="30"/>
    </row>
    <row r="4204" spans="1:13">
      <c r="A4204" s="29"/>
      <c r="B4204" s="30"/>
    </row>
    <row r="4205" spans="1:13">
      <c r="A4205" s="29"/>
      <c r="B4205" s="30"/>
    </row>
    <row r="4206" spans="1:13">
      <c r="A4206" s="29"/>
      <c r="B4206" s="30"/>
    </row>
    <row r="4207" spans="1:13">
      <c r="A4207" s="29"/>
      <c r="B4207" s="30"/>
    </row>
    <row r="4208" spans="1:13">
      <c r="A4208" s="29"/>
      <c r="B4208" s="30"/>
    </row>
    <row r="4209" spans="1:2">
      <c r="A4209" s="29"/>
      <c r="B4209" s="30"/>
    </row>
    <row r="4210" spans="1:2">
      <c r="A4210" s="29"/>
      <c r="B4210" s="30"/>
    </row>
    <row r="4211" spans="1:2">
      <c r="A4211" s="29"/>
      <c r="B4211" s="30"/>
    </row>
    <row r="4212" spans="1:2">
      <c r="A4212" s="29"/>
      <c r="B4212" s="30"/>
    </row>
    <row r="4213" spans="1:2">
      <c r="A4213" s="29"/>
      <c r="B4213" s="30"/>
    </row>
    <row r="4214" spans="1:2">
      <c r="A4214" s="29"/>
      <c r="B4214" s="30"/>
    </row>
    <row r="4215" spans="1:2">
      <c r="A4215" s="29"/>
      <c r="B4215" s="30"/>
    </row>
    <row r="4216" spans="1:2">
      <c r="A4216" s="29"/>
      <c r="B4216" s="30"/>
    </row>
    <row r="4217" spans="1:2">
      <c r="A4217" s="29"/>
      <c r="B4217" s="30"/>
    </row>
    <row r="4218" spans="1:2">
      <c r="A4218" s="29"/>
      <c r="B4218" s="30"/>
    </row>
    <row r="4219" spans="1:2">
      <c r="A4219" s="29"/>
      <c r="B4219" s="30"/>
    </row>
    <row r="4220" spans="1:2">
      <c r="A4220" s="29"/>
      <c r="B4220" s="30"/>
    </row>
    <row r="4221" spans="1:2">
      <c r="A4221" s="29"/>
      <c r="B4221" s="30"/>
    </row>
    <row r="4222" spans="1:2">
      <c r="A4222" s="29"/>
      <c r="B4222" s="30"/>
    </row>
    <row r="4223" spans="1:2">
      <c r="A4223" s="29"/>
      <c r="B4223" s="30"/>
    </row>
    <row r="4224" spans="1:2">
      <c r="A4224" s="29"/>
      <c r="B4224" s="30"/>
    </row>
    <row r="4225" spans="1:2">
      <c r="A4225" s="29"/>
      <c r="B4225" s="30"/>
    </row>
    <row r="4226" spans="1:2">
      <c r="A4226" s="29"/>
      <c r="B4226" s="30"/>
    </row>
    <row r="4227" spans="1:2">
      <c r="A4227" s="29"/>
      <c r="B4227" s="30"/>
    </row>
    <row r="4228" spans="1:2">
      <c r="A4228" s="29"/>
      <c r="B4228" s="30"/>
    </row>
    <row r="4229" spans="1:2">
      <c r="A4229" s="29"/>
      <c r="B4229" s="30"/>
    </row>
    <row r="4230" spans="1:2">
      <c r="A4230" s="29"/>
      <c r="B4230" s="30"/>
    </row>
    <row r="4231" spans="1:2">
      <c r="A4231" s="29"/>
      <c r="B4231" s="30"/>
    </row>
    <row r="4232" spans="1:2">
      <c r="A4232" s="29"/>
      <c r="B4232" s="30"/>
    </row>
    <row r="4233" spans="1:2">
      <c r="A4233" s="29"/>
      <c r="B4233" s="30"/>
    </row>
    <row r="4234" spans="1:2">
      <c r="A4234" s="29"/>
      <c r="B4234" s="30"/>
    </row>
    <row r="4235" spans="1:2">
      <c r="A4235" s="29"/>
      <c r="B4235" s="30"/>
    </row>
    <row r="4236" spans="1:2">
      <c r="A4236" s="29"/>
      <c r="B4236" s="30"/>
    </row>
    <row r="4237" spans="1:2">
      <c r="A4237" s="29"/>
      <c r="B4237" s="30"/>
    </row>
    <row r="4238" spans="1:2">
      <c r="A4238" s="29"/>
      <c r="B4238" s="30"/>
    </row>
    <row r="4239" spans="1:2">
      <c r="A4239" s="29"/>
      <c r="B4239" s="30"/>
    </row>
    <row r="4240" spans="1:2">
      <c r="A4240" s="29"/>
      <c r="B4240" s="30"/>
    </row>
    <row r="4241" spans="1:2">
      <c r="A4241" s="29"/>
      <c r="B4241" s="30"/>
    </row>
    <row r="4242" spans="1:2">
      <c r="A4242" s="29"/>
      <c r="B4242" s="30"/>
    </row>
    <row r="4243" spans="1:2">
      <c r="A4243" s="29"/>
      <c r="B4243" s="30"/>
    </row>
    <row r="4244" spans="1:2">
      <c r="A4244" s="29"/>
      <c r="B4244" s="30"/>
    </row>
    <row r="4245" spans="1:2">
      <c r="A4245" s="29"/>
      <c r="B4245" s="30"/>
    </row>
    <row r="4246" spans="1:2">
      <c r="A4246" s="29"/>
      <c r="B4246" s="30"/>
    </row>
    <row r="4247" spans="1:2">
      <c r="A4247" s="29"/>
      <c r="B4247" s="30"/>
    </row>
    <row r="4248" spans="1:2">
      <c r="A4248" s="29"/>
      <c r="B4248" s="30"/>
    </row>
    <row r="4249" spans="1:2">
      <c r="A4249" s="29"/>
      <c r="B4249" s="30"/>
    </row>
    <row r="4250" spans="1:2">
      <c r="A4250" s="29"/>
      <c r="B4250" s="30"/>
    </row>
    <row r="4251" spans="1:2">
      <c r="A4251" s="29"/>
      <c r="B4251" s="30"/>
    </row>
    <row r="4252" spans="1:2">
      <c r="A4252" s="29"/>
      <c r="B4252" s="30"/>
    </row>
    <row r="4253" spans="1:2">
      <c r="A4253" s="29"/>
      <c r="B4253" s="30"/>
    </row>
    <row r="4254" spans="1:2">
      <c r="A4254" s="29"/>
      <c r="B4254" s="30"/>
    </row>
    <row r="4255" spans="1:2">
      <c r="A4255" s="29"/>
      <c r="B4255" s="30"/>
    </row>
    <row r="4256" spans="1:2">
      <c r="A4256" s="29"/>
      <c r="B4256" s="30"/>
    </row>
    <row r="4257" spans="1:2">
      <c r="A4257" s="29"/>
      <c r="B4257" s="30"/>
    </row>
    <row r="4258" spans="1:2">
      <c r="A4258" s="29"/>
      <c r="B4258" s="30"/>
    </row>
    <row r="4259" spans="1:2">
      <c r="A4259" s="29"/>
      <c r="B4259" s="30"/>
    </row>
    <row r="4260" spans="1:2">
      <c r="A4260" s="29"/>
      <c r="B4260" s="30"/>
    </row>
    <row r="4261" spans="1:2">
      <c r="A4261" s="29"/>
      <c r="B4261" s="30"/>
    </row>
    <row r="4262" spans="1:2">
      <c r="A4262" s="29"/>
      <c r="B4262" s="30"/>
    </row>
    <row r="4263" spans="1:2">
      <c r="A4263" s="29"/>
      <c r="B4263" s="30"/>
    </row>
    <row r="4264" spans="1:2">
      <c r="A4264" s="29"/>
      <c r="B4264" s="30"/>
    </row>
    <row r="4265" spans="1:2">
      <c r="A4265" s="29"/>
      <c r="B4265" s="30"/>
    </row>
    <row r="4266" spans="1:2">
      <c r="A4266" s="29"/>
      <c r="B4266" s="30"/>
    </row>
    <row r="4267" spans="1:2">
      <c r="A4267" s="29"/>
      <c r="B4267" s="30"/>
    </row>
    <row r="4268" spans="1:2">
      <c r="A4268" s="29"/>
      <c r="B4268" s="30"/>
    </row>
    <row r="4269" spans="1:2">
      <c r="A4269" s="29"/>
      <c r="B4269" s="30"/>
    </row>
    <row r="4270" spans="1:2">
      <c r="A4270" s="29"/>
      <c r="B4270" s="30"/>
    </row>
    <row r="4271" spans="1:2">
      <c r="A4271" s="29"/>
      <c r="B4271" s="30"/>
    </row>
    <row r="4272" spans="1:2">
      <c r="A4272" s="29"/>
      <c r="B4272" s="30"/>
    </row>
    <row r="4273" spans="1:13">
      <c r="A4273" s="29"/>
      <c r="B4273" s="30"/>
    </row>
    <row r="4274" spans="1:13">
      <c r="A4274" s="29"/>
      <c r="B4274" s="30"/>
    </row>
    <row r="4275" spans="1:13">
      <c r="A4275" s="29"/>
      <c r="B4275" s="30"/>
    </row>
    <row r="4276" spans="1:13">
      <c r="A4276" s="29"/>
      <c r="B4276" s="30"/>
    </row>
    <row r="4277" spans="1:13">
      <c r="A4277" s="29"/>
      <c r="B4277" s="30"/>
    </row>
    <row r="4278" spans="1:13">
      <c r="A4278" s="29"/>
      <c r="B4278" s="30"/>
    </row>
    <row r="4279" spans="1:13">
      <c r="A4279" s="29"/>
      <c r="B4279" s="30"/>
      <c r="M4279" s="30"/>
    </row>
    <row r="4280" spans="1:13">
      <c r="A4280" s="29"/>
      <c r="B4280" s="30"/>
    </row>
    <row r="4281" spans="1:13">
      <c r="A4281" s="29"/>
      <c r="B4281" s="30"/>
    </row>
    <row r="4282" spans="1:13">
      <c r="A4282" s="29"/>
      <c r="B4282" s="30"/>
    </row>
    <row r="4283" spans="1:13">
      <c r="A4283" s="29"/>
      <c r="B4283" s="30"/>
    </row>
    <row r="4284" spans="1:13">
      <c r="A4284" s="29"/>
      <c r="B4284" s="30"/>
    </row>
    <row r="4285" spans="1:13">
      <c r="A4285" s="29"/>
      <c r="B4285" s="30"/>
    </row>
    <row r="4286" spans="1:13">
      <c r="A4286" s="29"/>
      <c r="B4286" s="30"/>
    </row>
    <row r="4287" spans="1:13">
      <c r="A4287" s="29"/>
      <c r="B4287" s="30"/>
    </row>
    <row r="4288" spans="1:13">
      <c r="A4288" s="29"/>
      <c r="B4288" s="30"/>
    </row>
    <row r="4289" spans="1:2">
      <c r="A4289" s="29"/>
      <c r="B4289" s="30"/>
    </row>
    <row r="4290" spans="1:2">
      <c r="A4290" s="29"/>
      <c r="B4290" s="30"/>
    </row>
    <row r="4291" spans="1:2">
      <c r="A4291" s="29"/>
      <c r="B4291" s="30"/>
    </row>
    <row r="4292" spans="1:2">
      <c r="A4292" s="29"/>
      <c r="B4292" s="30"/>
    </row>
    <row r="4293" spans="1:2">
      <c r="A4293" s="29"/>
      <c r="B4293" s="30"/>
    </row>
    <row r="4294" spans="1:2">
      <c r="A4294" s="29"/>
      <c r="B4294" s="30"/>
    </row>
    <row r="4295" spans="1:2">
      <c r="A4295" s="29"/>
      <c r="B4295" s="30"/>
    </row>
    <row r="4296" spans="1:2">
      <c r="A4296" s="29"/>
      <c r="B4296" s="30"/>
    </row>
    <row r="4297" spans="1:2">
      <c r="A4297" s="29"/>
      <c r="B4297" s="30"/>
    </row>
    <row r="4298" spans="1:2">
      <c r="A4298" s="29"/>
      <c r="B4298" s="30"/>
    </row>
    <row r="4299" spans="1:2">
      <c r="A4299" s="29"/>
      <c r="B4299" s="30"/>
    </row>
    <row r="4300" spans="1:2">
      <c r="A4300" s="29"/>
      <c r="B4300" s="30"/>
    </row>
    <row r="4301" spans="1:2">
      <c r="A4301" s="29"/>
      <c r="B4301" s="30"/>
    </row>
    <row r="4302" spans="1:2">
      <c r="A4302" s="29"/>
      <c r="B4302" s="30"/>
    </row>
    <row r="4303" spans="1:2">
      <c r="A4303" s="29"/>
      <c r="B4303" s="30"/>
    </row>
    <row r="4304" spans="1:2">
      <c r="A4304" s="29"/>
      <c r="B4304" s="30"/>
    </row>
    <row r="4305" spans="1:13">
      <c r="A4305" s="29"/>
      <c r="B4305" s="30"/>
    </row>
    <row r="4306" spans="1:13">
      <c r="A4306" s="29"/>
      <c r="B4306" s="30"/>
    </row>
    <row r="4307" spans="1:13">
      <c r="A4307" s="29"/>
      <c r="B4307" s="30"/>
    </row>
    <row r="4308" spans="1:13">
      <c r="A4308" s="29"/>
      <c r="B4308" s="30"/>
    </row>
    <row r="4309" spans="1:13">
      <c r="A4309" s="29"/>
      <c r="B4309" s="30"/>
    </row>
    <row r="4310" spans="1:13">
      <c r="A4310" s="29"/>
      <c r="B4310" s="30"/>
    </row>
    <row r="4311" spans="1:13">
      <c r="A4311" s="29"/>
      <c r="B4311" s="30"/>
    </row>
    <row r="4312" spans="1:13">
      <c r="A4312" s="29"/>
      <c r="B4312" s="30"/>
    </row>
    <row r="4313" spans="1:13">
      <c r="A4313" s="29"/>
      <c r="B4313" s="30"/>
    </row>
    <row r="4314" spans="1:13">
      <c r="A4314" s="29"/>
      <c r="B4314" s="30"/>
      <c r="M4314" s="30"/>
    </row>
    <row r="4315" spans="1:13">
      <c r="A4315" s="29"/>
      <c r="B4315" s="30"/>
    </row>
    <row r="4316" spans="1:13">
      <c r="A4316" s="29"/>
      <c r="B4316" s="30"/>
    </row>
    <row r="4317" spans="1:13">
      <c r="A4317" s="29"/>
      <c r="B4317" s="30"/>
    </row>
    <row r="4318" spans="1:13">
      <c r="A4318" s="29"/>
      <c r="B4318" s="30"/>
    </row>
    <row r="4319" spans="1:13">
      <c r="A4319" s="29"/>
      <c r="B4319" s="30"/>
    </row>
    <row r="4320" spans="1:13">
      <c r="A4320" s="29"/>
      <c r="B4320" s="30"/>
    </row>
    <row r="4321" spans="1:2">
      <c r="A4321" s="29"/>
      <c r="B4321" s="30"/>
    </row>
    <row r="4322" spans="1:2">
      <c r="A4322" s="29"/>
      <c r="B4322" s="30"/>
    </row>
    <row r="4323" spans="1:2">
      <c r="A4323" s="29"/>
      <c r="B4323" s="30"/>
    </row>
    <row r="4324" spans="1:2">
      <c r="A4324" s="29"/>
      <c r="B4324" s="30"/>
    </row>
    <row r="4325" spans="1:2">
      <c r="A4325" s="29"/>
      <c r="B4325" s="30"/>
    </row>
    <row r="4326" spans="1:2">
      <c r="A4326" s="29"/>
      <c r="B4326" s="30"/>
    </row>
    <row r="4327" spans="1:2">
      <c r="A4327" s="29"/>
      <c r="B4327" s="30"/>
    </row>
    <row r="4328" spans="1:2">
      <c r="A4328" s="29"/>
      <c r="B4328" s="30"/>
    </row>
    <row r="4329" spans="1:2">
      <c r="A4329" s="29"/>
      <c r="B4329" s="30"/>
    </row>
    <row r="4330" spans="1:2">
      <c r="A4330" s="29"/>
      <c r="B4330" s="30"/>
    </row>
    <row r="4331" spans="1:2">
      <c r="A4331" s="29"/>
      <c r="B4331" s="30"/>
    </row>
    <row r="4332" spans="1:2">
      <c r="A4332" s="29"/>
      <c r="B4332" s="30"/>
    </row>
    <row r="4333" spans="1:2">
      <c r="A4333" s="29"/>
      <c r="B4333" s="30"/>
    </row>
    <row r="4334" spans="1:2">
      <c r="A4334" s="29"/>
      <c r="B4334" s="30"/>
    </row>
    <row r="4335" spans="1:2">
      <c r="A4335" s="29"/>
      <c r="B4335" s="30"/>
    </row>
    <row r="4336" spans="1:2">
      <c r="A4336" s="29"/>
      <c r="B4336" s="30"/>
    </row>
    <row r="4337" spans="1:2">
      <c r="A4337" s="29"/>
      <c r="B4337" s="30"/>
    </row>
    <row r="4338" spans="1:2">
      <c r="A4338" s="29"/>
      <c r="B4338" s="30"/>
    </row>
    <row r="4339" spans="1:2">
      <c r="A4339" s="29"/>
      <c r="B4339" s="30"/>
    </row>
    <row r="4340" spans="1:2">
      <c r="A4340" s="29"/>
      <c r="B4340" s="30"/>
    </row>
    <row r="4341" spans="1:2">
      <c r="A4341" s="29"/>
      <c r="B4341" s="30"/>
    </row>
    <row r="4342" spans="1:2">
      <c r="A4342" s="29"/>
      <c r="B4342" s="30"/>
    </row>
    <row r="4343" spans="1:2">
      <c r="A4343" s="29"/>
      <c r="B4343" s="30"/>
    </row>
    <row r="4344" spans="1:2">
      <c r="A4344" s="29"/>
      <c r="B4344" s="30"/>
    </row>
    <row r="4345" spans="1:2">
      <c r="A4345" s="29"/>
      <c r="B4345" s="30"/>
    </row>
    <row r="4346" spans="1:2">
      <c r="A4346" s="29"/>
      <c r="B4346" s="30"/>
    </row>
    <row r="4347" spans="1:2">
      <c r="A4347" s="29"/>
      <c r="B4347" s="30"/>
    </row>
    <row r="4348" spans="1:2">
      <c r="A4348" s="29"/>
      <c r="B4348" s="30"/>
    </row>
    <row r="4349" spans="1:2">
      <c r="A4349" s="29"/>
      <c r="B4349" s="30"/>
    </row>
    <row r="4350" spans="1:2">
      <c r="A4350" s="29"/>
      <c r="B4350" s="30"/>
    </row>
    <row r="4351" spans="1:2">
      <c r="A4351" s="29"/>
      <c r="B4351" s="30"/>
    </row>
    <row r="4352" spans="1:2">
      <c r="A4352" s="29"/>
      <c r="B4352" s="30"/>
    </row>
    <row r="4353" spans="1:13">
      <c r="A4353" s="29"/>
      <c r="B4353" s="30"/>
    </row>
    <row r="4354" spans="1:13">
      <c r="A4354" s="29"/>
      <c r="B4354" s="30"/>
    </row>
    <row r="4355" spans="1:13">
      <c r="A4355" s="29"/>
      <c r="B4355" s="30"/>
    </row>
    <row r="4356" spans="1:13">
      <c r="A4356" s="29"/>
      <c r="B4356" s="30"/>
    </row>
    <row r="4357" spans="1:13">
      <c r="A4357" s="29"/>
      <c r="B4357" s="30"/>
    </row>
    <row r="4358" spans="1:13">
      <c r="A4358" s="29"/>
      <c r="B4358" s="30"/>
    </row>
    <row r="4359" spans="1:13">
      <c r="A4359" s="29"/>
      <c r="B4359" s="30"/>
    </row>
    <row r="4360" spans="1:13">
      <c r="A4360" s="29"/>
      <c r="B4360" s="30"/>
    </row>
    <row r="4361" spans="1:13">
      <c r="A4361" s="29"/>
      <c r="B4361" s="30"/>
    </row>
    <row r="4362" spans="1:13">
      <c r="A4362" s="29"/>
      <c r="B4362" s="30"/>
    </row>
    <row r="4363" spans="1:13">
      <c r="A4363" s="29"/>
      <c r="B4363" s="30"/>
    </row>
    <row r="4364" spans="1:13">
      <c r="A4364" s="29"/>
      <c r="B4364" s="30"/>
      <c r="M4364" s="30"/>
    </row>
    <row r="4365" spans="1:13">
      <c r="A4365" s="29"/>
      <c r="B4365" s="30"/>
    </row>
    <row r="4366" spans="1:13">
      <c r="A4366" s="29"/>
      <c r="B4366" s="30"/>
    </row>
    <row r="4367" spans="1:13">
      <c r="A4367" s="29"/>
      <c r="B4367" s="30"/>
    </row>
    <row r="4368" spans="1:13">
      <c r="A4368" s="29"/>
      <c r="B4368" s="30"/>
    </row>
    <row r="4369" spans="1:13">
      <c r="A4369" s="29"/>
      <c r="B4369" s="30"/>
    </row>
    <row r="4370" spans="1:13">
      <c r="A4370" s="29"/>
      <c r="B4370" s="30"/>
    </row>
    <row r="4371" spans="1:13">
      <c r="A4371" s="29"/>
      <c r="B4371" s="30"/>
    </row>
    <row r="4372" spans="1:13">
      <c r="A4372" s="29"/>
      <c r="B4372" s="30"/>
    </row>
    <row r="4373" spans="1:13">
      <c r="A4373" s="29"/>
      <c r="B4373" s="30"/>
    </row>
    <row r="4374" spans="1:13">
      <c r="A4374" s="29"/>
      <c r="B4374" s="30"/>
    </row>
    <row r="4375" spans="1:13">
      <c r="A4375" s="29"/>
      <c r="B4375" s="30"/>
    </row>
    <row r="4376" spans="1:13">
      <c r="A4376" s="29"/>
      <c r="B4376" s="30"/>
    </row>
    <row r="4377" spans="1:13">
      <c r="A4377" s="29"/>
      <c r="B4377" s="30"/>
    </row>
    <row r="4378" spans="1:13">
      <c r="A4378" s="29"/>
      <c r="B4378" s="30"/>
    </row>
    <row r="4379" spans="1:13">
      <c r="A4379" s="29"/>
      <c r="B4379" s="30"/>
    </row>
    <row r="4380" spans="1:13">
      <c r="A4380" s="29"/>
      <c r="B4380" s="30"/>
    </row>
    <row r="4381" spans="1:13">
      <c r="A4381" s="29"/>
      <c r="B4381" s="30"/>
    </row>
    <row r="4382" spans="1:13">
      <c r="A4382" s="29"/>
      <c r="B4382" s="30"/>
    </row>
    <row r="4383" spans="1:13">
      <c r="A4383" s="29"/>
      <c r="B4383" s="30"/>
      <c r="M4383" s="30"/>
    </row>
    <row r="4384" spans="1:13">
      <c r="A4384" s="29"/>
      <c r="B4384" s="30"/>
    </row>
    <row r="4385" spans="1:2">
      <c r="A4385" s="29"/>
      <c r="B4385" s="30"/>
    </row>
    <row r="4386" spans="1:2">
      <c r="A4386" s="29"/>
      <c r="B4386" s="30"/>
    </row>
    <row r="4387" spans="1:2">
      <c r="A4387" s="29"/>
      <c r="B4387" s="30"/>
    </row>
    <row r="4388" spans="1:2">
      <c r="A4388" s="29"/>
      <c r="B4388" s="30"/>
    </row>
    <row r="4389" spans="1:2">
      <c r="A4389" s="29"/>
      <c r="B4389" s="30"/>
    </row>
    <row r="4390" spans="1:2">
      <c r="A4390" s="29"/>
      <c r="B4390" s="30"/>
    </row>
    <row r="4391" spans="1:2">
      <c r="A4391" s="29"/>
      <c r="B4391" s="30"/>
    </row>
    <row r="4392" spans="1:2">
      <c r="A4392" s="29"/>
      <c r="B4392" s="30"/>
    </row>
    <row r="4393" spans="1:2">
      <c r="A4393" s="29"/>
      <c r="B4393" s="30"/>
    </row>
    <row r="4394" spans="1:2">
      <c r="A4394" s="29"/>
      <c r="B4394" s="30"/>
    </row>
    <row r="4395" spans="1:2">
      <c r="A4395" s="29"/>
      <c r="B4395" s="30"/>
    </row>
    <row r="4396" spans="1:2">
      <c r="A4396" s="29"/>
      <c r="B4396" s="30"/>
    </row>
    <row r="4397" spans="1:2">
      <c r="A4397" s="29"/>
      <c r="B4397" s="30"/>
    </row>
    <row r="4398" spans="1:2">
      <c r="A4398" s="29"/>
      <c r="B4398" s="30"/>
    </row>
    <row r="4399" spans="1:2">
      <c r="A4399" s="29"/>
      <c r="B4399" s="30"/>
    </row>
    <row r="4400" spans="1:2">
      <c r="A4400" s="29"/>
      <c r="B4400" s="30"/>
    </row>
    <row r="4401" spans="1:2">
      <c r="A4401" s="29"/>
      <c r="B4401" s="30"/>
    </row>
    <row r="4402" spans="1:2">
      <c r="A4402" s="29"/>
      <c r="B4402" s="30"/>
    </row>
    <row r="4403" spans="1:2">
      <c r="A4403" s="29"/>
      <c r="B4403" s="30"/>
    </row>
    <row r="4404" spans="1:2">
      <c r="A4404" s="29"/>
      <c r="B4404" s="30"/>
    </row>
    <row r="4405" spans="1:2">
      <c r="A4405" s="29"/>
      <c r="B4405" s="30"/>
    </row>
    <row r="4406" spans="1:2">
      <c r="A4406" s="29"/>
      <c r="B4406" s="30"/>
    </row>
    <row r="4407" spans="1:2">
      <c r="A4407" s="29"/>
      <c r="B4407" s="30"/>
    </row>
    <row r="4408" spans="1:2">
      <c r="A4408" s="29"/>
      <c r="B4408" s="30"/>
    </row>
    <row r="4409" spans="1:2">
      <c r="A4409" s="29"/>
      <c r="B4409" s="30"/>
    </row>
    <row r="4410" spans="1:2">
      <c r="A4410" s="29"/>
      <c r="B4410" s="30"/>
    </row>
    <row r="4411" spans="1:2">
      <c r="A4411" s="29"/>
      <c r="B4411" s="30"/>
    </row>
    <row r="4412" spans="1:2">
      <c r="A4412" s="29"/>
      <c r="B4412" s="30"/>
    </row>
    <row r="4413" spans="1:2">
      <c r="A4413" s="29"/>
      <c r="B4413" s="30"/>
    </row>
    <row r="4414" spans="1:2">
      <c r="A4414" s="29"/>
      <c r="B4414" s="30"/>
    </row>
    <row r="4415" spans="1:2">
      <c r="A4415" s="29"/>
      <c r="B4415" s="30"/>
    </row>
    <row r="4416" spans="1:2">
      <c r="A4416" s="29"/>
      <c r="B4416" s="30"/>
    </row>
    <row r="4417" spans="1:2">
      <c r="A4417" s="29"/>
      <c r="B4417" s="30"/>
    </row>
    <row r="4418" spans="1:2">
      <c r="A4418" s="29"/>
      <c r="B4418" s="30"/>
    </row>
    <row r="4419" spans="1:2">
      <c r="A4419" s="29"/>
      <c r="B4419" s="30"/>
    </row>
    <row r="4420" spans="1:2">
      <c r="A4420" s="29"/>
      <c r="B4420" s="30"/>
    </row>
    <row r="4421" spans="1:2">
      <c r="A4421" s="29"/>
      <c r="B4421" s="30"/>
    </row>
    <row r="4422" spans="1:2">
      <c r="A4422" s="29"/>
      <c r="B4422" s="30"/>
    </row>
    <row r="4423" spans="1:2">
      <c r="A4423" s="29"/>
      <c r="B4423" s="30"/>
    </row>
    <row r="4424" spans="1:2">
      <c r="A4424" s="29"/>
      <c r="B4424" s="30"/>
    </row>
    <row r="4425" spans="1:2">
      <c r="A4425" s="29"/>
      <c r="B4425" s="30"/>
    </row>
    <row r="4426" spans="1:2">
      <c r="A4426" s="29"/>
      <c r="B4426" s="30"/>
    </row>
    <row r="4427" spans="1:2">
      <c r="A4427" s="29"/>
      <c r="B4427" s="30"/>
    </row>
    <row r="4428" spans="1:2">
      <c r="A4428" s="29"/>
      <c r="B4428" s="30"/>
    </row>
    <row r="4429" spans="1:2">
      <c r="A4429" s="29"/>
      <c r="B4429" s="30"/>
    </row>
    <row r="4430" spans="1:2">
      <c r="A4430" s="29"/>
      <c r="B4430" s="30"/>
    </row>
    <row r="4431" spans="1:2">
      <c r="A4431" s="29"/>
      <c r="B4431" s="30"/>
    </row>
    <row r="4432" spans="1:2">
      <c r="A4432" s="29"/>
      <c r="B4432" s="30"/>
    </row>
    <row r="4433" spans="1:2">
      <c r="A4433" s="29"/>
      <c r="B4433" s="30"/>
    </row>
    <row r="4434" spans="1:2">
      <c r="A4434" s="29"/>
      <c r="B4434" s="30"/>
    </row>
    <row r="4435" spans="1:2">
      <c r="A4435" s="29"/>
      <c r="B4435" s="30"/>
    </row>
    <row r="4436" spans="1:2">
      <c r="A4436" s="29"/>
      <c r="B4436" s="30"/>
    </row>
    <row r="4437" spans="1:2">
      <c r="A4437" s="29"/>
      <c r="B4437" s="30"/>
    </row>
    <row r="4438" spans="1:2">
      <c r="A4438" s="29"/>
      <c r="B4438" s="30"/>
    </row>
    <row r="4439" spans="1:2">
      <c r="A4439" s="29"/>
      <c r="B4439" s="30"/>
    </row>
    <row r="4440" spans="1:2">
      <c r="A4440" s="29"/>
      <c r="B4440" s="30"/>
    </row>
    <row r="4441" spans="1:2">
      <c r="A4441" s="29"/>
      <c r="B4441" s="30"/>
    </row>
    <row r="4442" spans="1:2">
      <c r="A4442" s="29"/>
      <c r="B4442" s="30"/>
    </row>
    <row r="4443" spans="1:2">
      <c r="A4443" s="29"/>
      <c r="B4443" s="30"/>
    </row>
    <row r="4444" spans="1:2">
      <c r="A4444" s="29"/>
      <c r="B4444" s="30"/>
    </row>
    <row r="4445" spans="1:2">
      <c r="A4445" s="29"/>
      <c r="B4445" s="30"/>
    </row>
    <row r="4446" spans="1:2">
      <c r="A4446" s="29"/>
      <c r="B4446" s="30"/>
    </row>
    <row r="4447" spans="1:2">
      <c r="A4447" s="29"/>
      <c r="B4447" s="30"/>
    </row>
    <row r="4448" spans="1:2">
      <c r="A4448" s="29"/>
      <c r="B4448" s="30"/>
    </row>
    <row r="4449" spans="1:13">
      <c r="A4449" s="29"/>
      <c r="B4449" s="30"/>
    </row>
    <row r="4450" spans="1:13">
      <c r="A4450" s="29"/>
      <c r="B4450" s="30"/>
    </row>
    <row r="4451" spans="1:13">
      <c r="A4451" s="29"/>
      <c r="B4451" s="30"/>
    </row>
    <row r="4452" spans="1:13">
      <c r="A4452" s="29"/>
      <c r="B4452" s="30"/>
    </row>
    <row r="4453" spans="1:13">
      <c r="A4453" s="29"/>
      <c r="B4453" s="30"/>
    </row>
    <row r="4454" spans="1:13">
      <c r="A4454" s="29"/>
      <c r="B4454" s="30"/>
    </row>
    <row r="4455" spans="1:13">
      <c r="A4455" s="29"/>
      <c r="B4455" s="30"/>
    </row>
    <row r="4456" spans="1:13">
      <c r="A4456" s="29"/>
      <c r="B4456" s="30"/>
    </row>
    <row r="4457" spans="1:13">
      <c r="A4457" s="29"/>
      <c r="B4457" s="30"/>
      <c r="M4457" s="30"/>
    </row>
    <row r="4458" spans="1:13">
      <c r="A4458" s="29"/>
      <c r="B4458" s="30"/>
    </row>
    <row r="4459" spans="1:13">
      <c r="A4459" s="29"/>
      <c r="B4459" s="30"/>
    </row>
    <row r="4460" spans="1:13">
      <c r="A4460" s="29"/>
      <c r="B4460" s="30"/>
    </row>
    <row r="4461" spans="1:13">
      <c r="A4461" s="29"/>
      <c r="B4461" s="30"/>
    </row>
    <row r="4462" spans="1:13">
      <c r="A4462" s="29"/>
      <c r="B4462" s="30"/>
    </row>
    <row r="4463" spans="1:13">
      <c r="A4463" s="29"/>
      <c r="B4463" s="30"/>
    </row>
    <row r="4464" spans="1:13">
      <c r="A4464" s="29"/>
      <c r="B4464" s="30"/>
    </row>
    <row r="4465" spans="1:13">
      <c r="A4465" s="29"/>
      <c r="B4465" s="30"/>
    </row>
    <row r="4466" spans="1:13">
      <c r="A4466" s="29"/>
      <c r="B4466" s="30"/>
    </row>
    <row r="4467" spans="1:13">
      <c r="A4467" s="29"/>
      <c r="B4467" s="30"/>
    </row>
    <row r="4468" spans="1:13">
      <c r="A4468" s="29"/>
      <c r="B4468" s="30"/>
    </row>
    <row r="4469" spans="1:13">
      <c r="A4469" s="29"/>
      <c r="B4469" s="30"/>
    </row>
    <row r="4470" spans="1:13">
      <c r="A4470" s="29"/>
      <c r="B4470" s="30"/>
    </row>
    <row r="4471" spans="1:13">
      <c r="A4471" s="29"/>
      <c r="B4471" s="30"/>
    </row>
    <row r="4472" spans="1:13">
      <c r="A4472" s="29"/>
      <c r="B4472" s="30"/>
    </row>
    <row r="4473" spans="1:13">
      <c r="A4473" s="29"/>
      <c r="B4473" s="30"/>
    </row>
    <row r="4474" spans="1:13">
      <c r="A4474" s="29"/>
      <c r="B4474" s="30"/>
    </row>
    <row r="4475" spans="1:13">
      <c r="A4475" s="29"/>
      <c r="B4475" s="30"/>
    </row>
    <row r="4476" spans="1:13">
      <c r="A4476" s="29"/>
      <c r="B4476" s="30"/>
    </row>
    <row r="4477" spans="1:13">
      <c r="A4477" s="29"/>
      <c r="B4477" s="30"/>
    </row>
    <row r="4478" spans="1:13">
      <c r="A4478" s="29"/>
      <c r="B4478" s="30"/>
    </row>
    <row r="4479" spans="1:13">
      <c r="A4479" s="29"/>
      <c r="B4479" s="30"/>
      <c r="M4479" s="30"/>
    </row>
    <row r="4480" spans="1:13">
      <c r="A4480" s="29"/>
      <c r="B4480" s="30"/>
    </row>
    <row r="4481" spans="1:2">
      <c r="A4481" s="29"/>
      <c r="B4481" s="30"/>
    </row>
    <row r="4482" spans="1:2">
      <c r="A4482" s="29"/>
      <c r="B4482" s="30"/>
    </row>
    <row r="4483" spans="1:2">
      <c r="A4483" s="29"/>
      <c r="B4483" s="30"/>
    </row>
    <row r="4484" spans="1:2">
      <c r="A4484" s="29"/>
      <c r="B4484" s="30"/>
    </row>
    <row r="4485" spans="1:2">
      <c r="A4485" s="29"/>
      <c r="B4485" s="30"/>
    </row>
    <row r="4486" spans="1:2">
      <c r="A4486" s="29"/>
      <c r="B4486" s="30"/>
    </row>
    <row r="4487" spans="1:2">
      <c r="A4487" s="29"/>
      <c r="B4487" s="30"/>
    </row>
    <row r="4488" spans="1:2">
      <c r="A4488" s="29"/>
      <c r="B4488" s="30"/>
    </row>
    <row r="4489" spans="1:2">
      <c r="A4489" s="29"/>
      <c r="B4489" s="30"/>
    </row>
    <row r="4490" spans="1:2">
      <c r="A4490" s="29"/>
      <c r="B4490" s="30"/>
    </row>
    <row r="4491" spans="1:2">
      <c r="A4491" s="29"/>
      <c r="B4491" s="30"/>
    </row>
    <row r="4492" spans="1:2">
      <c r="A4492" s="29"/>
      <c r="B4492" s="30"/>
    </row>
    <row r="4493" spans="1:2">
      <c r="A4493" s="29"/>
      <c r="B4493" s="30"/>
    </row>
    <row r="4494" spans="1:2">
      <c r="A4494" s="29"/>
      <c r="B4494" s="30"/>
    </row>
    <row r="4495" spans="1:2">
      <c r="A4495" s="29"/>
      <c r="B4495" s="30"/>
    </row>
    <row r="4496" spans="1:2">
      <c r="A4496" s="29"/>
      <c r="B4496" s="30"/>
    </row>
    <row r="4497" spans="1:2">
      <c r="A4497" s="29"/>
      <c r="B4497" s="30"/>
    </row>
    <row r="4498" spans="1:2">
      <c r="A4498" s="29"/>
      <c r="B4498" s="30"/>
    </row>
    <row r="4499" spans="1:2">
      <c r="A4499" s="29"/>
      <c r="B4499" s="30"/>
    </row>
    <row r="4500" spans="1:2">
      <c r="A4500" s="29"/>
      <c r="B4500" s="30"/>
    </row>
    <row r="4501" spans="1:2">
      <c r="A4501" s="29"/>
      <c r="B4501" s="30"/>
    </row>
    <row r="4502" spans="1:2">
      <c r="A4502" s="29"/>
      <c r="B4502" s="30"/>
    </row>
    <row r="4503" spans="1:2">
      <c r="A4503" s="29"/>
      <c r="B4503" s="30"/>
    </row>
    <row r="4504" spans="1:2">
      <c r="A4504" s="29"/>
      <c r="B4504" s="30"/>
    </row>
    <row r="4505" spans="1:2">
      <c r="A4505" s="29"/>
      <c r="B4505" s="30"/>
    </row>
    <row r="4506" spans="1:2">
      <c r="A4506" s="29"/>
      <c r="B4506" s="30"/>
    </row>
    <row r="4507" spans="1:2">
      <c r="A4507" s="29"/>
      <c r="B4507" s="30"/>
    </row>
    <row r="4508" spans="1:2">
      <c r="A4508" s="29"/>
      <c r="B4508" s="30"/>
    </row>
    <row r="4509" spans="1:2">
      <c r="A4509" s="29"/>
      <c r="B4509" s="30"/>
    </row>
    <row r="4510" spans="1:2">
      <c r="A4510" s="29"/>
      <c r="B4510" s="30"/>
    </row>
    <row r="4511" spans="1:2">
      <c r="A4511" s="29"/>
      <c r="B4511" s="30"/>
    </row>
    <row r="4512" spans="1:2">
      <c r="A4512" s="29"/>
      <c r="B4512" s="30"/>
    </row>
    <row r="4513" spans="1:2">
      <c r="A4513" s="29"/>
      <c r="B4513" s="30"/>
    </row>
    <row r="4514" spans="1:2">
      <c r="A4514" s="29"/>
      <c r="B4514" s="30"/>
    </row>
    <row r="4515" spans="1:2">
      <c r="A4515" s="29"/>
      <c r="B4515" s="30"/>
    </row>
    <row r="4516" spans="1:2">
      <c r="A4516" s="29"/>
      <c r="B4516" s="30"/>
    </row>
    <row r="4517" spans="1:2">
      <c r="A4517" s="29"/>
      <c r="B4517" s="30"/>
    </row>
    <row r="4518" spans="1:2">
      <c r="A4518" s="29"/>
      <c r="B4518" s="30"/>
    </row>
    <row r="4519" spans="1:2">
      <c r="A4519" s="29"/>
      <c r="B4519" s="30"/>
    </row>
    <row r="4520" spans="1:2">
      <c r="A4520" s="29"/>
      <c r="B4520" s="30"/>
    </row>
    <row r="4521" spans="1:2">
      <c r="A4521" s="29"/>
      <c r="B4521" s="30"/>
    </row>
    <row r="4522" spans="1:2">
      <c r="A4522" s="29"/>
      <c r="B4522" s="30"/>
    </row>
    <row r="4523" spans="1:2">
      <c r="A4523" s="29"/>
      <c r="B4523" s="30"/>
    </row>
    <row r="4524" spans="1:2">
      <c r="A4524" s="29"/>
      <c r="B4524" s="30"/>
    </row>
    <row r="4525" spans="1:2">
      <c r="A4525" s="29"/>
      <c r="B4525" s="30"/>
    </row>
    <row r="4526" spans="1:2">
      <c r="A4526" s="29"/>
      <c r="B4526" s="30"/>
    </row>
    <row r="4527" spans="1:2">
      <c r="A4527" s="29"/>
      <c r="B4527" s="30"/>
    </row>
    <row r="4528" spans="1:2">
      <c r="A4528" s="29"/>
      <c r="B4528" s="30"/>
    </row>
    <row r="4529" spans="1:2">
      <c r="A4529" s="29"/>
      <c r="B4529" s="30"/>
    </row>
    <row r="4530" spans="1:2">
      <c r="A4530" s="29"/>
      <c r="B4530" s="30"/>
    </row>
    <row r="4531" spans="1:2">
      <c r="A4531" s="29"/>
      <c r="B4531" s="30"/>
    </row>
    <row r="4532" spans="1:2">
      <c r="A4532" s="29"/>
      <c r="B4532" s="30"/>
    </row>
    <row r="4533" spans="1:2">
      <c r="A4533" s="29"/>
      <c r="B4533" s="30"/>
    </row>
    <row r="4534" spans="1:2">
      <c r="A4534" s="29"/>
      <c r="B4534" s="30"/>
    </row>
    <row r="4535" spans="1:2">
      <c r="A4535" s="29"/>
      <c r="B4535" s="30"/>
    </row>
    <row r="4536" spans="1:2">
      <c r="A4536" s="29"/>
      <c r="B4536" s="30"/>
    </row>
    <row r="4537" spans="1:2">
      <c r="A4537" s="29"/>
      <c r="B4537" s="30"/>
    </row>
    <row r="4538" spans="1:2">
      <c r="A4538" s="29"/>
      <c r="B4538" s="30"/>
    </row>
    <row r="4539" spans="1:2">
      <c r="A4539" s="29"/>
      <c r="B4539" s="30"/>
    </row>
    <row r="4540" spans="1:2">
      <c r="A4540" s="29"/>
      <c r="B4540" s="30"/>
    </row>
    <row r="4541" spans="1:2">
      <c r="A4541" s="29"/>
      <c r="B4541" s="30"/>
    </row>
    <row r="4542" spans="1:2">
      <c r="A4542" s="29"/>
      <c r="B4542" s="30"/>
    </row>
    <row r="4543" spans="1:2">
      <c r="A4543" s="29"/>
      <c r="B4543" s="30"/>
    </row>
    <row r="4544" spans="1:2">
      <c r="A4544" s="29"/>
      <c r="B4544" s="30"/>
    </row>
    <row r="4545" spans="1:2">
      <c r="A4545" s="29"/>
      <c r="B4545" s="30"/>
    </row>
    <row r="4546" spans="1:2">
      <c r="A4546" s="29"/>
      <c r="B4546" s="30"/>
    </row>
    <row r="4547" spans="1:2">
      <c r="A4547" s="29"/>
      <c r="B4547" s="30"/>
    </row>
    <row r="4548" spans="1:2">
      <c r="A4548" s="29"/>
      <c r="B4548" s="30"/>
    </row>
    <row r="4549" spans="1:2">
      <c r="A4549" s="29"/>
      <c r="B4549" s="30"/>
    </row>
    <row r="4550" spans="1:2">
      <c r="A4550" s="29"/>
      <c r="B4550" s="30"/>
    </row>
    <row r="4551" spans="1:2">
      <c r="A4551" s="29"/>
      <c r="B4551" s="30"/>
    </row>
    <row r="4552" spans="1:2">
      <c r="A4552" s="29"/>
      <c r="B4552" s="30"/>
    </row>
    <row r="4553" spans="1:2">
      <c r="A4553" s="29"/>
      <c r="B4553" s="30"/>
    </row>
    <row r="4554" spans="1:2">
      <c r="A4554" s="29"/>
      <c r="B4554" s="30"/>
    </row>
    <row r="4555" spans="1:2">
      <c r="A4555" s="29"/>
      <c r="B4555" s="30"/>
    </row>
    <row r="4556" spans="1:2">
      <c r="A4556" s="29"/>
      <c r="B4556" s="30"/>
    </row>
    <row r="4557" spans="1:2">
      <c r="A4557" s="29"/>
      <c r="B4557" s="30"/>
    </row>
    <row r="4558" spans="1:2">
      <c r="A4558" s="29"/>
      <c r="B4558" s="30"/>
    </row>
    <row r="4559" spans="1:2">
      <c r="A4559" s="29"/>
      <c r="B4559" s="30"/>
    </row>
    <row r="4560" spans="1:2">
      <c r="A4560" s="29"/>
      <c r="B4560" s="30"/>
    </row>
    <row r="4561" spans="1:2">
      <c r="A4561" s="29"/>
      <c r="B4561" s="30"/>
    </row>
    <row r="4562" spans="1:2">
      <c r="A4562" s="29"/>
      <c r="B4562" s="30"/>
    </row>
    <row r="4563" spans="1:2">
      <c r="A4563" s="29"/>
      <c r="B4563" s="30"/>
    </row>
    <row r="4564" spans="1:2">
      <c r="A4564" s="29"/>
      <c r="B4564" s="30"/>
    </row>
    <row r="4565" spans="1:2">
      <c r="A4565" s="29"/>
      <c r="B4565" s="30"/>
    </row>
    <row r="4566" spans="1:2">
      <c r="A4566" s="29"/>
      <c r="B4566" s="30"/>
    </row>
    <row r="4567" spans="1:2">
      <c r="A4567" s="29"/>
      <c r="B4567" s="30"/>
    </row>
    <row r="4568" spans="1:2">
      <c r="A4568" s="29"/>
      <c r="B4568" s="30"/>
    </row>
    <row r="4569" spans="1:2">
      <c r="A4569" s="29"/>
      <c r="B4569" s="30"/>
    </row>
    <row r="4570" spans="1:2">
      <c r="A4570" s="29"/>
      <c r="B4570" s="30"/>
    </row>
    <row r="4571" spans="1:2">
      <c r="A4571" s="29"/>
      <c r="B4571" s="30"/>
    </row>
    <row r="4572" spans="1:2">
      <c r="A4572" s="29"/>
      <c r="B4572" s="30"/>
    </row>
    <row r="4573" spans="1:2">
      <c r="A4573" s="29"/>
      <c r="B4573" s="30"/>
    </row>
    <row r="4574" spans="1:2">
      <c r="A4574" s="29"/>
      <c r="B4574" s="30"/>
    </row>
    <row r="4575" spans="1:2">
      <c r="A4575" s="29"/>
      <c r="B4575" s="30"/>
    </row>
    <row r="4576" spans="1:2">
      <c r="A4576" s="29"/>
      <c r="B4576" s="30"/>
    </row>
    <row r="4577" spans="1:13">
      <c r="A4577" s="29"/>
      <c r="B4577" s="30"/>
    </row>
    <row r="4578" spans="1:13">
      <c r="A4578" s="29"/>
      <c r="B4578" s="30"/>
    </row>
    <row r="4579" spans="1:13">
      <c r="A4579" s="29"/>
      <c r="B4579" s="30"/>
    </row>
    <row r="4580" spans="1:13">
      <c r="A4580" s="29"/>
      <c r="B4580" s="30"/>
    </row>
    <row r="4581" spans="1:13">
      <c r="A4581" s="29"/>
      <c r="B4581" s="30"/>
    </row>
    <row r="4582" spans="1:13">
      <c r="A4582" s="29"/>
      <c r="B4582" s="30"/>
    </row>
    <row r="4583" spans="1:13">
      <c r="A4583" s="29"/>
      <c r="B4583" s="30"/>
    </row>
    <row r="4584" spans="1:13">
      <c r="A4584" s="29"/>
      <c r="B4584" s="30"/>
      <c r="M4584" s="30"/>
    </row>
    <row r="4585" spans="1:13">
      <c r="A4585" s="29"/>
      <c r="B4585" s="30"/>
    </row>
    <row r="4586" spans="1:13">
      <c r="A4586" s="29"/>
      <c r="B4586" s="30"/>
    </row>
    <row r="4587" spans="1:13">
      <c r="A4587" s="29"/>
      <c r="B4587" s="30"/>
    </row>
    <row r="4588" spans="1:13">
      <c r="A4588" s="29"/>
      <c r="B4588" s="30"/>
    </row>
    <row r="4589" spans="1:13">
      <c r="A4589" s="29"/>
      <c r="B4589" s="30"/>
    </row>
    <row r="4590" spans="1:13">
      <c r="A4590" s="29"/>
      <c r="B4590" s="30"/>
    </row>
    <row r="4591" spans="1:13">
      <c r="A4591" s="29"/>
      <c r="B4591" s="30"/>
    </row>
    <row r="4592" spans="1:13">
      <c r="A4592" s="29"/>
      <c r="B4592" s="30"/>
    </row>
    <row r="4593" spans="1:2">
      <c r="A4593" s="29"/>
      <c r="B4593" s="30"/>
    </row>
    <row r="4594" spans="1:2">
      <c r="A4594" s="29"/>
      <c r="B4594" s="30"/>
    </row>
    <row r="4595" spans="1:2">
      <c r="A4595" s="29"/>
      <c r="B4595" s="30"/>
    </row>
    <row r="4596" spans="1:2">
      <c r="A4596" s="29"/>
      <c r="B4596" s="30"/>
    </row>
    <row r="4597" spans="1:2">
      <c r="A4597" s="29"/>
      <c r="B4597" s="30"/>
    </row>
    <row r="4598" spans="1:2">
      <c r="A4598" s="29"/>
      <c r="B4598" s="30"/>
    </row>
    <row r="4599" spans="1:2">
      <c r="A4599" s="29"/>
      <c r="B4599" s="30"/>
    </row>
    <row r="4600" spans="1:2">
      <c r="A4600" s="29"/>
      <c r="B4600" s="30"/>
    </row>
    <row r="4601" spans="1:2">
      <c r="A4601" s="29"/>
      <c r="B4601" s="30"/>
    </row>
    <row r="4602" spans="1:2">
      <c r="A4602" s="29"/>
      <c r="B4602" s="30"/>
    </row>
    <row r="4603" spans="1:2">
      <c r="A4603" s="29"/>
      <c r="B4603" s="30"/>
    </row>
    <row r="4604" spans="1:2">
      <c r="A4604" s="29"/>
      <c r="B4604" s="30"/>
    </row>
    <row r="4605" spans="1:2">
      <c r="A4605" s="29"/>
      <c r="B4605" s="30"/>
    </row>
    <row r="4606" spans="1:2">
      <c r="A4606" s="29"/>
      <c r="B4606" s="30"/>
    </row>
    <row r="4607" spans="1:2">
      <c r="A4607" s="29"/>
      <c r="B4607" s="30"/>
    </row>
    <row r="4608" spans="1:2">
      <c r="A4608" s="29"/>
      <c r="B4608" s="30"/>
    </row>
    <row r="4609" spans="1:2">
      <c r="A4609" s="29"/>
      <c r="B4609" s="30"/>
    </row>
    <row r="4610" spans="1:2">
      <c r="A4610" s="29"/>
      <c r="B4610" s="30"/>
    </row>
    <row r="4611" spans="1:2">
      <c r="A4611" s="29"/>
      <c r="B4611" s="30"/>
    </row>
    <row r="4612" spans="1:2">
      <c r="A4612" s="29"/>
      <c r="B4612" s="30"/>
    </row>
    <row r="4613" spans="1:2">
      <c r="A4613" s="29"/>
      <c r="B4613" s="30"/>
    </row>
    <row r="4614" spans="1:2">
      <c r="A4614" s="29"/>
      <c r="B4614" s="30"/>
    </row>
    <row r="4615" spans="1:2">
      <c r="A4615" s="29"/>
      <c r="B4615" s="30"/>
    </row>
    <row r="4616" spans="1:2">
      <c r="A4616" s="29"/>
      <c r="B4616" s="30"/>
    </row>
    <row r="4617" spans="1:2">
      <c r="A4617" s="29"/>
      <c r="B4617" s="30"/>
    </row>
    <row r="4618" spans="1:2">
      <c r="A4618" s="29"/>
      <c r="B4618" s="30"/>
    </row>
    <row r="4619" spans="1:2">
      <c r="A4619" s="29"/>
      <c r="B4619" s="30"/>
    </row>
    <row r="4620" spans="1:2">
      <c r="A4620" s="29"/>
      <c r="B4620" s="30"/>
    </row>
    <row r="4621" spans="1:2">
      <c r="A4621" s="29"/>
      <c r="B4621" s="30"/>
    </row>
    <row r="4622" spans="1:2">
      <c r="A4622" s="29"/>
      <c r="B4622" s="30"/>
    </row>
    <row r="4623" spans="1:2">
      <c r="A4623" s="29"/>
      <c r="B4623" s="30"/>
    </row>
    <row r="4624" spans="1:2">
      <c r="A4624" s="29"/>
      <c r="B4624" s="30"/>
    </row>
    <row r="4625" spans="1:2">
      <c r="A4625" s="29"/>
      <c r="B4625" s="30"/>
    </row>
    <row r="4626" spans="1:2">
      <c r="A4626" s="29"/>
      <c r="B4626" s="30"/>
    </row>
    <row r="4627" spans="1:2">
      <c r="A4627" s="29"/>
      <c r="B4627" s="30"/>
    </row>
    <row r="4628" spans="1:2">
      <c r="A4628" s="29"/>
      <c r="B4628" s="30"/>
    </row>
    <row r="4629" spans="1:2">
      <c r="A4629" s="29"/>
      <c r="B4629" s="30"/>
    </row>
    <row r="4630" spans="1:2">
      <c r="A4630" s="29"/>
      <c r="B4630" s="30"/>
    </row>
    <row r="4631" spans="1:2">
      <c r="A4631" s="29"/>
      <c r="B4631" s="30"/>
    </row>
    <row r="4632" spans="1:2">
      <c r="A4632" s="29"/>
      <c r="B4632" s="30"/>
    </row>
    <row r="4633" spans="1:2">
      <c r="A4633" s="29"/>
      <c r="B4633" s="30"/>
    </row>
    <row r="4634" spans="1:2">
      <c r="A4634" s="29"/>
      <c r="B4634" s="30"/>
    </row>
    <row r="4635" spans="1:2">
      <c r="A4635" s="29"/>
      <c r="B4635" s="30"/>
    </row>
    <row r="4636" spans="1:2">
      <c r="A4636" s="29"/>
      <c r="B4636" s="30"/>
    </row>
    <row r="4637" spans="1:2">
      <c r="A4637" s="29"/>
      <c r="B4637" s="30"/>
    </row>
    <row r="4638" spans="1:2">
      <c r="A4638" s="29"/>
      <c r="B4638" s="30"/>
    </row>
    <row r="4639" spans="1:2">
      <c r="A4639" s="29"/>
      <c r="B4639" s="30"/>
    </row>
    <row r="4640" spans="1:2">
      <c r="A4640" s="29"/>
      <c r="B4640" s="30"/>
    </row>
    <row r="4641" spans="1:2">
      <c r="A4641" s="29"/>
      <c r="B4641" s="30"/>
    </row>
    <row r="4642" spans="1:2">
      <c r="A4642" s="29"/>
      <c r="B4642" s="30"/>
    </row>
    <row r="4643" spans="1:2">
      <c r="A4643" s="29"/>
      <c r="B4643" s="30"/>
    </row>
    <row r="4644" spans="1:2">
      <c r="A4644" s="29"/>
      <c r="B4644" s="30"/>
    </row>
    <row r="4645" spans="1:2">
      <c r="A4645" s="29"/>
      <c r="B4645" s="30"/>
    </row>
    <row r="4646" spans="1:2">
      <c r="A4646" s="29"/>
      <c r="B4646" s="30"/>
    </row>
    <row r="4647" spans="1:2">
      <c r="A4647" s="29"/>
      <c r="B4647" s="30"/>
    </row>
    <row r="4648" spans="1:2">
      <c r="A4648" s="29"/>
      <c r="B4648" s="30"/>
    </row>
    <row r="4649" spans="1:2">
      <c r="A4649" s="29"/>
      <c r="B4649" s="30"/>
    </row>
    <row r="4650" spans="1:2">
      <c r="A4650" s="29"/>
      <c r="B4650" s="30"/>
    </row>
    <row r="4651" spans="1:2">
      <c r="A4651" s="29"/>
      <c r="B4651" s="30"/>
    </row>
    <row r="4652" spans="1:2">
      <c r="A4652" s="29"/>
      <c r="B4652" s="30"/>
    </row>
    <row r="4653" spans="1:2">
      <c r="A4653" s="29"/>
      <c r="B4653" s="30"/>
    </row>
    <row r="4654" spans="1:2">
      <c r="A4654" s="29"/>
      <c r="B4654" s="30"/>
    </row>
    <row r="4655" spans="1:2">
      <c r="A4655" s="29"/>
      <c r="B4655" s="30"/>
    </row>
    <row r="4656" spans="1:2">
      <c r="A4656" s="29"/>
      <c r="B4656" s="30"/>
    </row>
    <row r="4657" spans="1:2">
      <c r="A4657" s="29"/>
      <c r="B4657" s="30"/>
    </row>
    <row r="4658" spans="1:2">
      <c r="A4658" s="29"/>
      <c r="B4658" s="30"/>
    </row>
    <row r="4659" spans="1:2">
      <c r="A4659" s="29"/>
      <c r="B4659" s="30"/>
    </row>
    <row r="4660" spans="1:2">
      <c r="A4660" s="29"/>
      <c r="B4660" s="30"/>
    </row>
    <row r="4661" spans="1:2">
      <c r="A4661" s="29"/>
      <c r="B4661" s="30"/>
    </row>
    <row r="4662" spans="1:2">
      <c r="A4662" s="29"/>
      <c r="B4662" s="30"/>
    </row>
    <row r="4663" spans="1:2">
      <c r="A4663" s="29"/>
      <c r="B4663" s="30"/>
    </row>
    <row r="4664" spans="1:2">
      <c r="A4664" s="29"/>
      <c r="B4664" s="30"/>
    </row>
    <row r="4665" spans="1:2">
      <c r="A4665" s="29"/>
      <c r="B4665" s="30"/>
    </row>
    <row r="4666" spans="1:2">
      <c r="A4666" s="29"/>
      <c r="B4666" s="30"/>
    </row>
    <row r="4667" spans="1:2">
      <c r="A4667" s="29"/>
      <c r="B4667" s="30"/>
    </row>
    <row r="4668" spans="1:2">
      <c r="A4668" s="29"/>
      <c r="B4668" s="30"/>
    </row>
    <row r="4669" spans="1:2">
      <c r="A4669" s="29"/>
      <c r="B4669" s="30"/>
    </row>
    <row r="4670" spans="1:2">
      <c r="A4670" s="29"/>
      <c r="B4670" s="30"/>
    </row>
    <row r="4671" spans="1:2">
      <c r="A4671" s="29"/>
      <c r="B4671" s="30"/>
    </row>
    <row r="4672" spans="1:2">
      <c r="A4672" s="29"/>
      <c r="B4672" s="30"/>
    </row>
    <row r="4673" spans="1:2">
      <c r="A4673" s="29"/>
      <c r="B4673" s="30"/>
    </row>
    <row r="4674" spans="1:2">
      <c r="A4674" s="29"/>
      <c r="B4674" s="30"/>
    </row>
    <row r="4675" spans="1:2">
      <c r="A4675" s="29"/>
      <c r="B4675" s="30"/>
    </row>
    <row r="4676" spans="1:2">
      <c r="A4676" s="29"/>
      <c r="B4676" s="30"/>
    </row>
    <row r="4677" spans="1:2">
      <c r="A4677" s="29"/>
      <c r="B4677" s="30"/>
    </row>
    <row r="4678" spans="1:2">
      <c r="A4678" s="29"/>
      <c r="B4678" s="30"/>
    </row>
    <row r="4679" spans="1:2">
      <c r="A4679" s="29"/>
      <c r="B4679" s="30"/>
    </row>
    <row r="4680" spans="1:2">
      <c r="A4680" s="29"/>
      <c r="B4680" s="30"/>
    </row>
    <row r="4681" spans="1:2">
      <c r="A4681" s="29"/>
      <c r="B4681" s="30"/>
    </row>
    <row r="4682" spans="1:2">
      <c r="A4682" s="29"/>
      <c r="B4682" s="30"/>
    </row>
    <row r="4683" spans="1:2">
      <c r="A4683" s="29"/>
      <c r="B4683" s="30"/>
    </row>
    <row r="4684" spans="1:2">
      <c r="A4684" s="29"/>
      <c r="B4684" s="30"/>
    </row>
    <row r="4685" spans="1:2">
      <c r="A4685" s="29"/>
      <c r="B4685" s="30"/>
    </row>
    <row r="4686" spans="1:2">
      <c r="A4686" s="29"/>
      <c r="B4686" s="30"/>
    </row>
    <row r="4687" spans="1:2">
      <c r="A4687" s="29"/>
      <c r="B4687" s="30"/>
    </row>
    <row r="4688" spans="1:2">
      <c r="A4688" s="29"/>
      <c r="B4688" s="30"/>
    </row>
    <row r="4689" spans="1:2">
      <c r="A4689" s="29"/>
      <c r="B4689" s="30"/>
    </row>
    <row r="4690" spans="1:2">
      <c r="A4690" s="29"/>
      <c r="B4690" s="30"/>
    </row>
    <row r="4691" spans="1:2">
      <c r="A4691" s="29"/>
      <c r="B4691" s="30"/>
    </row>
    <row r="4692" spans="1:2">
      <c r="A4692" s="29"/>
      <c r="B4692" s="30"/>
    </row>
    <row r="4693" spans="1:2">
      <c r="A4693" s="29"/>
      <c r="B4693" s="30"/>
    </row>
    <row r="4694" spans="1:2">
      <c r="A4694" s="29"/>
      <c r="B4694" s="30"/>
    </row>
    <row r="4695" spans="1:2">
      <c r="A4695" s="29"/>
      <c r="B4695" s="30"/>
    </row>
    <row r="4696" spans="1:2">
      <c r="A4696" s="29"/>
      <c r="B4696" s="30"/>
    </row>
    <row r="4697" spans="1:2">
      <c r="A4697" s="29"/>
      <c r="B4697" s="30"/>
    </row>
    <row r="4698" spans="1:2">
      <c r="A4698" s="29"/>
      <c r="B4698" s="30"/>
    </row>
    <row r="4699" spans="1:2">
      <c r="A4699" s="29"/>
      <c r="B4699" s="30"/>
    </row>
    <row r="4700" spans="1:2">
      <c r="A4700" s="29"/>
      <c r="B4700" s="30"/>
    </row>
    <row r="4701" spans="1:2">
      <c r="A4701" s="29"/>
      <c r="B4701" s="30"/>
    </row>
    <row r="4702" spans="1:2">
      <c r="A4702" s="29"/>
      <c r="B4702" s="30"/>
    </row>
    <row r="4703" spans="1:2">
      <c r="A4703" s="29"/>
      <c r="B4703" s="30"/>
    </row>
    <row r="4704" spans="1:2">
      <c r="A4704" s="29"/>
      <c r="B4704" s="30"/>
    </row>
    <row r="4705" spans="1:2">
      <c r="A4705" s="29"/>
      <c r="B4705" s="30"/>
    </row>
    <row r="4706" spans="1:2">
      <c r="A4706" s="29"/>
      <c r="B4706" s="30"/>
    </row>
    <row r="4707" spans="1:2">
      <c r="A4707" s="29"/>
      <c r="B4707" s="30"/>
    </row>
    <row r="4708" spans="1:2">
      <c r="A4708" s="29"/>
      <c r="B4708" s="30"/>
    </row>
    <row r="4709" spans="1:2">
      <c r="A4709" s="29"/>
      <c r="B4709" s="30"/>
    </row>
    <row r="4710" spans="1:2">
      <c r="A4710" s="29"/>
      <c r="B4710" s="30"/>
    </row>
    <row r="4711" spans="1:2">
      <c r="A4711" s="29"/>
      <c r="B4711" s="30"/>
    </row>
    <row r="4712" spans="1:2">
      <c r="A4712" s="29"/>
      <c r="B4712" s="30"/>
    </row>
    <row r="4713" spans="1:2">
      <c r="A4713" s="29"/>
      <c r="B4713" s="30"/>
    </row>
    <row r="4714" spans="1:2">
      <c r="A4714" s="29"/>
      <c r="B4714" s="30"/>
    </row>
    <row r="4715" spans="1:2">
      <c r="A4715" s="29"/>
      <c r="B4715" s="30"/>
    </row>
    <row r="4716" spans="1:2">
      <c r="A4716" s="29"/>
      <c r="B4716" s="30"/>
    </row>
    <row r="4717" spans="1:2">
      <c r="A4717" s="29"/>
      <c r="B4717" s="30"/>
    </row>
    <row r="4718" spans="1:2">
      <c r="A4718" s="29"/>
      <c r="B4718" s="30"/>
    </row>
    <row r="4719" spans="1:2">
      <c r="A4719" s="29"/>
      <c r="B4719" s="30"/>
    </row>
    <row r="4720" spans="1:2">
      <c r="A4720" s="29"/>
      <c r="B4720" s="30"/>
    </row>
    <row r="4721" spans="1:2">
      <c r="A4721" s="29"/>
      <c r="B4721" s="30"/>
    </row>
    <row r="4722" spans="1:2">
      <c r="A4722" s="29"/>
      <c r="B4722" s="30"/>
    </row>
    <row r="4723" spans="1:2">
      <c r="A4723" s="29"/>
      <c r="B4723" s="30"/>
    </row>
    <row r="4724" spans="1:2">
      <c r="A4724" s="29"/>
      <c r="B4724" s="30"/>
    </row>
    <row r="4725" spans="1:2">
      <c r="A4725" s="29"/>
      <c r="B4725" s="30"/>
    </row>
    <row r="4726" spans="1:2">
      <c r="A4726" s="29"/>
      <c r="B4726" s="30"/>
    </row>
    <row r="4727" spans="1:2">
      <c r="A4727" s="29"/>
      <c r="B4727" s="30"/>
    </row>
    <row r="4728" spans="1:2">
      <c r="A4728" s="29"/>
      <c r="B4728" s="30"/>
    </row>
    <row r="4729" spans="1:2">
      <c r="A4729" s="29"/>
      <c r="B4729" s="30"/>
    </row>
    <row r="4730" spans="1:2">
      <c r="A4730" s="29"/>
      <c r="B4730" s="30"/>
    </row>
    <row r="4731" spans="1:2">
      <c r="A4731" s="29"/>
      <c r="B4731" s="30"/>
    </row>
    <row r="4732" spans="1:2">
      <c r="A4732" s="29"/>
      <c r="B4732" s="30"/>
    </row>
    <row r="4733" spans="1:2">
      <c r="A4733" s="29"/>
      <c r="B4733" s="30"/>
    </row>
    <row r="4734" spans="1:2">
      <c r="A4734" s="29"/>
      <c r="B4734" s="30"/>
    </row>
    <row r="4735" spans="1:2">
      <c r="A4735" s="29"/>
      <c r="B4735" s="30"/>
    </row>
    <row r="4736" spans="1:2">
      <c r="A4736" s="29"/>
      <c r="B4736" s="30"/>
    </row>
    <row r="4737" spans="1:2">
      <c r="A4737" s="29"/>
      <c r="B4737" s="30"/>
    </row>
    <row r="4738" spans="1:2">
      <c r="A4738" s="29"/>
      <c r="B4738" s="30"/>
    </row>
    <row r="4739" spans="1:2">
      <c r="A4739" s="29"/>
      <c r="B4739" s="30"/>
    </row>
    <row r="4740" spans="1:2">
      <c r="A4740" s="29"/>
      <c r="B4740" s="30"/>
    </row>
    <row r="4741" spans="1:2">
      <c r="A4741" s="29"/>
      <c r="B4741" s="30"/>
    </row>
    <row r="4742" spans="1:2">
      <c r="A4742" s="29"/>
      <c r="B4742" s="30"/>
    </row>
    <row r="4743" spans="1:2">
      <c r="A4743" s="29"/>
      <c r="B4743" s="30"/>
    </row>
    <row r="4744" spans="1:2">
      <c r="A4744" s="29"/>
      <c r="B4744" s="30"/>
    </row>
    <row r="4745" spans="1:2">
      <c r="A4745" s="29"/>
      <c r="B4745" s="30"/>
    </row>
    <row r="4746" spans="1:2">
      <c r="A4746" s="29"/>
      <c r="B4746" s="30"/>
    </row>
    <row r="4747" spans="1:2">
      <c r="A4747" s="29"/>
      <c r="B4747" s="30"/>
    </row>
    <row r="4748" spans="1:2">
      <c r="A4748" s="29"/>
      <c r="B4748" s="30"/>
    </row>
    <row r="4749" spans="1:2">
      <c r="A4749" s="29"/>
      <c r="B4749" s="30"/>
    </row>
    <row r="4750" spans="1:2">
      <c r="A4750" s="29"/>
      <c r="B4750" s="30"/>
    </row>
    <row r="4751" spans="1:2">
      <c r="A4751" s="29"/>
      <c r="B4751" s="30"/>
    </row>
    <row r="4752" spans="1:2">
      <c r="A4752" s="29"/>
      <c r="B4752" s="30"/>
    </row>
    <row r="4753" spans="1:2">
      <c r="A4753" s="29"/>
      <c r="B4753" s="30"/>
    </row>
    <row r="4754" spans="1:2">
      <c r="A4754" s="29"/>
      <c r="B4754" s="30"/>
    </row>
    <row r="4755" spans="1:2">
      <c r="A4755" s="29"/>
      <c r="B4755" s="30"/>
    </row>
    <row r="4756" spans="1:2">
      <c r="A4756" s="29"/>
      <c r="B4756" s="30"/>
    </row>
    <row r="4757" spans="1:2">
      <c r="A4757" s="29"/>
      <c r="B4757" s="30"/>
    </row>
    <row r="4758" spans="1:2">
      <c r="A4758" s="29"/>
      <c r="B4758" s="30"/>
    </row>
    <row r="4759" spans="1:2">
      <c r="A4759" s="29"/>
      <c r="B4759" s="30"/>
    </row>
    <row r="4760" spans="1:2">
      <c r="A4760" s="29"/>
      <c r="B4760" s="30"/>
    </row>
    <row r="4761" spans="1:2">
      <c r="A4761" s="29"/>
      <c r="B4761" s="30"/>
    </row>
    <row r="4762" spans="1:2">
      <c r="A4762" s="29"/>
      <c r="B4762" s="30"/>
    </row>
    <row r="4763" spans="1:2">
      <c r="A4763" s="29"/>
      <c r="B4763" s="30"/>
    </row>
    <row r="4764" spans="1:2">
      <c r="A4764" s="29"/>
      <c r="B4764" s="30"/>
    </row>
    <row r="4765" spans="1:2">
      <c r="A4765" s="29"/>
      <c r="B4765" s="30"/>
    </row>
    <row r="4766" spans="1:2">
      <c r="A4766" s="29"/>
      <c r="B4766" s="30"/>
    </row>
    <row r="4767" spans="1:2">
      <c r="A4767" s="29"/>
      <c r="B4767" s="30"/>
    </row>
    <row r="4768" spans="1:2">
      <c r="A4768" s="29"/>
      <c r="B4768" s="30"/>
    </row>
    <row r="4769" spans="1:2">
      <c r="A4769" s="29"/>
      <c r="B4769" s="30"/>
    </row>
    <row r="4770" spans="1:2">
      <c r="A4770" s="29"/>
      <c r="B4770" s="30"/>
    </row>
    <row r="4771" spans="1:2">
      <c r="A4771" s="29"/>
      <c r="B4771" s="30"/>
    </row>
    <row r="4772" spans="1:2">
      <c r="A4772" s="29"/>
      <c r="B4772" s="30"/>
    </row>
    <row r="4773" spans="1:2">
      <c r="A4773" s="29"/>
      <c r="B4773" s="30"/>
    </row>
    <row r="4774" spans="1:2">
      <c r="A4774" s="29"/>
      <c r="B4774" s="30"/>
    </row>
    <row r="4775" spans="1:2">
      <c r="A4775" s="29"/>
      <c r="B4775" s="30"/>
    </row>
    <row r="4776" spans="1:2">
      <c r="A4776" s="29"/>
      <c r="B4776" s="30"/>
    </row>
    <row r="4777" spans="1:2">
      <c r="A4777" s="29"/>
      <c r="B4777" s="30"/>
    </row>
    <row r="4778" spans="1:2">
      <c r="A4778" s="29"/>
      <c r="B4778" s="30"/>
    </row>
    <row r="4779" spans="1:2">
      <c r="A4779" s="29"/>
      <c r="B4779" s="30"/>
    </row>
    <row r="4780" spans="1:2">
      <c r="A4780" s="29"/>
      <c r="B4780" s="30"/>
    </row>
    <row r="4781" spans="1:2">
      <c r="A4781" s="29"/>
      <c r="B4781" s="30"/>
    </row>
    <row r="4782" spans="1:2">
      <c r="A4782" s="29"/>
      <c r="B4782" s="30"/>
    </row>
    <row r="4783" spans="1:2">
      <c r="A4783" s="29"/>
      <c r="B4783" s="30"/>
    </row>
    <row r="4784" spans="1:2">
      <c r="A4784" s="29"/>
      <c r="B4784" s="30"/>
    </row>
    <row r="4785" spans="1:13">
      <c r="A4785" s="29"/>
      <c r="B4785" s="30"/>
    </row>
    <row r="4786" spans="1:13">
      <c r="A4786" s="29"/>
      <c r="B4786" s="30"/>
    </row>
    <row r="4787" spans="1:13">
      <c r="A4787" s="29"/>
      <c r="B4787" s="30"/>
    </row>
    <row r="4788" spans="1:13">
      <c r="A4788" s="29"/>
      <c r="B4788" s="30"/>
    </row>
    <row r="4789" spans="1:13">
      <c r="A4789" s="29"/>
      <c r="B4789" s="30"/>
    </row>
    <row r="4790" spans="1:13">
      <c r="A4790" s="29"/>
      <c r="B4790" s="30"/>
    </row>
    <row r="4791" spans="1:13">
      <c r="A4791" s="29"/>
      <c r="B4791" s="30"/>
    </row>
    <row r="4792" spans="1:13">
      <c r="A4792" s="29"/>
      <c r="B4792" s="30"/>
    </row>
    <row r="4793" spans="1:13">
      <c r="A4793" s="29"/>
      <c r="B4793" s="30"/>
    </row>
    <row r="4794" spans="1:13">
      <c r="A4794" s="29"/>
      <c r="B4794" s="30"/>
    </row>
    <row r="4795" spans="1:13">
      <c r="A4795" s="29"/>
      <c r="B4795" s="30"/>
    </row>
    <row r="4796" spans="1:13">
      <c r="A4796" s="29"/>
      <c r="B4796" s="30"/>
      <c r="M4796" s="30"/>
    </row>
    <row r="4797" spans="1:13">
      <c r="A4797" s="29"/>
      <c r="B4797" s="30"/>
    </row>
    <row r="4798" spans="1:13">
      <c r="A4798" s="29"/>
      <c r="B4798" s="30"/>
    </row>
    <row r="4799" spans="1:13">
      <c r="A4799" s="29"/>
      <c r="B4799" s="30"/>
    </row>
    <row r="4800" spans="1:13">
      <c r="A4800" s="29"/>
      <c r="B4800" s="30"/>
    </row>
    <row r="4801" spans="1:2">
      <c r="A4801" s="29"/>
      <c r="B4801" s="30"/>
    </row>
    <row r="4802" spans="1:2">
      <c r="A4802" s="29"/>
      <c r="B4802" s="30"/>
    </row>
    <row r="4803" spans="1:2">
      <c r="A4803" s="29"/>
      <c r="B4803" s="30"/>
    </row>
    <row r="4804" spans="1:2">
      <c r="A4804" s="29"/>
      <c r="B4804" s="30"/>
    </row>
    <row r="4805" spans="1:2">
      <c r="A4805" s="29"/>
      <c r="B4805" s="30"/>
    </row>
    <row r="4806" spans="1:2">
      <c r="A4806" s="29"/>
      <c r="B4806" s="30"/>
    </row>
    <row r="4807" spans="1:2">
      <c r="A4807" s="29"/>
      <c r="B4807" s="30"/>
    </row>
    <row r="4808" spans="1:2">
      <c r="A4808" s="29"/>
      <c r="B4808" s="30"/>
    </row>
    <row r="4809" spans="1:2">
      <c r="A4809" s="29"/>
      <c r="B4809" s="30"/>
    </row>
    <row r="4810" spans="1:2">
      <c r="A4810" s="29"/>
      <c r="B4810" s="30"/>
    </row>
    <row r="4811" spans="1:2">
      <c r="A4811" s="29"/>
      <c r="B4811" s="30"/>
    </row>
    <row r="4812" spans="1:2">
      <c r="A4812" s="29"/>
      <c r="B4812" s="30"/>
    </row>
    <row r="4813" spans="1:2">
      <c r="A4813" s="29"/>
      <c r="B4813" s="30"/>
    </row>
    <row r="4814" spans="1:2">
      <c r="A4814" s="29"/>
      <c r="B4814" s="30"/>
    </row>
    <row r="4815" spans="1:2">
      <c r="A4815" s="29"/>
      <c r="B4815" s="30"/>
    </row>
    <row r="4816" spans="1:2">
      <c r="A4816" s="29"/>
      <c r="B4816" s="30"/>
    </row>
    <row r="4817" spans="1:13">
      <c r="A4817" s="29"/>
      <c r="B4817" s="30"/>
    </row>
    <row r="4818" spans="1:13">
      <c r="A4818" s="29"/>
      <c r="B4818" s="30"/>
    </row>
    <row r="4819" spans="1:13">
      <c r="A4819" s="29"/>
      <c r="B4819" s="30"/>
    </row>
    <row r="4820" spans="1:13">
      <c r="A4820" s="29"/>
      <c r="B4820" s="30"/>
    </row>
    <row r="4821" spans="1:13">
      <c r="A4821" s="29"/>
      <c r="B4821" s="30"/>
    </row>
    <row r="4822" spans="1:13">
      <c r="A4822" s="29"/>
      <c r="B4822" s="30"/>
    </row>
    <row r="4823" spans="1:13">
      <c r="A4823" s="29"/>
      <c r="B4823" s="30"/>
    </row>
    <row r="4824" spans="1:13">
      <c r="A4824" s="29"/>
      <c r="B4824" s="30"/>
    </row>
    <row r="4825" spans="1:13">
      <c r="A4825" s="29"/>
      <c r="B4825" s="30"/>
    </row>
    <row r="4826" spans="1:13">
      <c r="A4826" s="29"/>
      <c r="B4826" s="30"/>
    </row>
    <row r="4827" spans="1:13">
      <c r="A4827" s="29"/>
      <c r="B4827" s="30"/>
    </row>
    <row r="4828" spans="1:13">
      <c r="A4828" s="29"/>
      <c r="B4828" s="30"/>
    </row>
    <row r="4829" spans="1:13">
      <c r="A4829" s="29"/>
      <c r="B4829" s="30"/>
    </row>
    <row r="4830" spans="1:13">
      <c r="A4830" s="29"/>
      <c r="B4830" s="30"/>
      <c r="M4830" s="30"/>
    </row>
    <row r="4831" spans="1:13">
      <c r="A4831" s="29"/>
      <c r="B4831" s="30"/>
    </row>
    <row r="4832" spans="1:13">
      <c r="A4832" s="29"/>
      <c r="B4832" s="30"/>
    </row>
    <row r="4833" spans="1:13">
      <c r="A4833" s="29"/>
      <c r="B4833" s="30"/>
      <c r="M4833" s="30"/>
    </row>
    <row r="4834" spans="1:13">
      <c r="A4834" s="29"/>
      <c r="B4834" s="30"/>
    </row>
    <row r="4835" spans="1:13">
      <c r="A4835" s="29"/>
      <c r="B4835" s="30"/>
    </row>
    <row r="4836" spans="1:13">
      <c r="A4836" s="29"/>
      <c r="B4836" s="30"/>
    </row>
    <row r="4837" spans="1:13">
      <c r="A4837" s="29"/>
      <c r="B4837" s="30"/>
    </row>
    <row r="4838" spans="1:13">
      <c r="A4838" s="29"/>
      <c r="B4838" s="30"/>
    </row>
    <row r="4839" spans="1:13">
      <c r="A4839" s="29"/>
      <c r="B4839" s="30"/>
    </row>
    <row r="4840" spans="1:13">
      <c r="A4840" s="29"/>
      <c r="B4840" s="30"/>
    </row>
    <row r="4841" spans="1:13">
      <c r="A4841" s="29"/>
      <c r="B4841" s="30"/>
    </row>
    <row r="4842" spans="1:13">
      <c r="A4842" s="29"/>
      <c r="B4842" s="30"/>
      <c r="M4842" s="30"/>
    </row>
    <row r="4843" spans="1:13">
      <c r="A4843" s="29"/>
      <c r="B4843" s="30"/>
    </row>
    <row r="4844" spans="1:13">
      <c r="A4844" s="29"/>
      <c r="B4844" s="30"/>
    </row>
    <row r="4845" spans="1:13">
      <c r="A4845" s="29"/>
      <c r="B4845" s="30"/>
    </row>
    <row r="4846" spans="1:13">
      <c r="A4846" s="29"/>
      <c r="B4846" s="30"/>
    </row>
    <row r="4847" spans="1:13">
      <c r="A4847" s="29"/>
      <c r="B4847" s="30"/>
    </row>
    <row r="4848" spans="1:13">
      <c r="A4848" s="29"/>
      <c r="B4848" s="30"/>
    </row>
    <row r="4849" spans="1:2">
      <c r="A4849" s="29"/>
      <c r="B4849" s="30"/>
    </row>
    <row r="4850" spans="1:2">
      <c r="A4850" s="29"/>
      <c r="B4850" s="30"/>
    </row>
    <row r="4851" spans="1:2">
      <c r="A4851" s="29"/>
      <c r="B4851" s="30"/>
    </row>
    <row r="4852" spans="1:2">
      <c r="A4852" s="29"/>
      <c r="B4852" s="30"/>
    </row>
    <row r="4853" spans="1:2">
      <c r="A4853" s="29"/>
      <c r="B4853" s="30"/>
    </row>
    <row r="4854" spans="1:2">
      <c r="A4854" s="29"/>
      <c r="B4854" s="30"/>
    </row>
    <row r="4855" spans="1:2">
      <c r="A4855" s="29"/>
      <c r="B4855" s="30"/>
    </row>
    <row r="4856" spans="1:2">
      <c r="A4856" s="29"/>
      <c r="B4856" s="30"/>
    </row>
    <row r="4857" spans="1:2">
      <c r="A4857" s="29"/>
      <c r="B4857" s="30"/>
    </row>
    <row r="4858" spans="1:2">
      <c r="A4858" s="29"/>
      <c r="B4858" s="30"/>
    </row>
    <row r="4859" spans="1:2">
      <c r="A4859" s="29"/>
      <c r="B4859" s="30"/>
    </row>
    <row r="4860" spans="1:2">
      <c r="A4860" s="29"/>
      <c r="B4860" s="30"/>
    </row>
    <row r="4861" spans="1:2">
      <c r="A4861" s="29"/>
      <c r="B4861" s="30"/>
    </row>
    <row r="4862" spans="1:2">
      <c r="A4862" s="29"/>
      <c r="B4862" s="30"/>
    </row>
    <row r="4863" spans="1:2">
      <c r="A4863" s="29"/>
      <c r="B4863" s="30"/>
    </row>
    <row r="4864" spans="1:2">
      <c r="A4864" s="29"/>
      <c r="B4864" s="30"/>
    </row>
    <row r="4865" spans="1:2">
      <c r="A4865" s="29"/>
      <c r="B4865" s="30"/>
    </row>
    <row r="4866" spans="1:2">
      <c r="A4866" s="29"/>
      <c r="B4866" s="30"/>
    </row>
    <row r="4867" spans="1:2">
      <c r="A4867" s="29"/>
      <c r="B4867" s="30"/>
    </row>
    <row r="4868" spans="1:2">
      <c r="A4868" s="29"/>
      <c r="B4868" s="30"/>
    </row>
    <row r="4869" spans="1:2">
      <c r="A4869" s="29"/>
      <c r="B4869" s="30"/>
    </row>
    <row r="4870" spans="1:2">
      <c r="A4870" s="29"/>
      <c r="B4870" s="30"/>
    </row>
    <row r="4871" spans="1:2">
      <c r="A4871" s="29"/>
      <c r="B4871" s="30"/>
    </row>
    <row r="4872" spans="1:2">
      <c r="A4872" s="29"/>
      <c r="B4872" s="30"/>
    </row>
    <row r="4873" spans="1:2">
      <c r="A4873" s="29"/>
      <c r="B4873" s="30"/>
    </row>
    <row r="4874" spans="1:2">
      <c r="A4874" s="29"/>
      <c r="B4874" s="30"/>
    </row>
    <row r="4875" spans="1:2">
      <c r="A4875" s="29"/>
      <c r="B4875" s="30"/>
    </row>
    <row r="4876" spans="1:2">
      <c r="A4876" s="29"/>
      <c r="B4876" s="30"/>
    </row>
    <row r="4877" spans="1:2">
      <c r="A4877" s="29"/>
      <c r="B4877" s="30"/>
    </row>
    <row r="4878" spans="1:2">
      <c r="A4878" s="29"/>
      <c r="B4878" s="30"/>
    </row>
    <row r="4879" spans="1:2">
      <c r="A4879" s="29"/>
      <c r="B4879" s="30"/>
    </row>
    <row r="4880" spans="1:2">
      <c r="A4880" s="29"/>
      <c r="B4880" s="30"/>
    </row>
    <row r="4881" spans="1:2">
      <c r="A4881" s="29"/>
      <c r="B4881" s="30"/>
    </row>
    <row r="4882" spans="1:2">
      <c r="A4882" s="29"/>
      <c r="B4882" s="30"/>
    </row>
    <row r="4883" spans="1:2">
      <c r="A4883" s="29"/>
      <c r="B4883" s="30"/>
    </row>
    <row r="4884" spans="1:2">
      <c r="A4884" s="29"/>
      <c r="B4884" s="30"/>
    </row>
    <row r="4885" spans="1:2">
      <c r="A4885" s="29"/>
      <c r="B4885" s="30"/>
    </row>
    <row r="4886" spans="1:2">
      <c r="A4886" s="29"/>
      <c r="B4886" s="30"/>
    </row>
    <row r="4887" spans="1:2">
      <c r="A4887" s="29"/>
      <c r="B4887" s="30"/>
    </row>
    <row r="4888" spans="1:2">
      <c r="A4888" s="29"/>
      <c r="B4888" s="30"/>
    </row>
    <row r="4889" spans="1:2">
      <c r="A4889" s="29"/>
      <c r="B4889" s="30"/>
    </row>
    <row r="4890" spans="1:2">
      <c r="A4890" s="29"/>
      <c r="B4890" s="30"/>
    </row>
    <row r="4891" spans="1:2">
      <c r="A4891" s="29"/>
      <c r="B4891" s="30"/>
    </row>
    <row r="4892" spans="1:2">
      <c r="A4892" s="29"/>
      <c r="B4892" s="30"/>
    </row>
    <row r="4893" spans="1:2">
      <c r="A4893" s="29"/>
      <c r="B4893" s="30"/>
    </row>
    <row r="4894" spans="1:2">
      <c r="A4894" s="29"/>
      <c r="B4894" s="30"/>
    </row>
    <row r="4895" spans="1:2">
      <c r="A4895" s="29"/>
      <c r="B4895" s="30"/>
    </row>
    <row r="4896" spans="1:2">
      <c r="A4896" s="29"/>
      <c r="B4896" s="30"/>
    </row>
    <row r="4897" spans="1:2">
      <c r="A4897" s="29"/>
      <c r="B4897" s="30"/>
    </row>
    <row r="4898" spans="1:2">
      <c r="A4898" s="29"/>
      <c r="B4898" s="30"/>
    </row>
    <row r="4899" spans="1:2">
      <c r="A4899" s="29"/>
      <c r="B4899" s="30"/>
    </row>
    <row r="4900" spans="1:2">
      <c r="A4900" s="29"/>
      <c r="B4900" s="30"/>
    </row>
    <row r="4901" spans="1:2">
      <c r="A4901" s="29"/>
      <c r="B4901" s="30"/>
    </row>
    <row r="4902" spans="1:2">
      <c r="A4902" s="29"/>
      <c r="B4902" s="30"/>
    </row>
    <row r="4903" spans="1:2">
      <c r="A4903" s="29"/>
      <c r="B4903" s="30"/>
    </row>
    <row r="4904" spans="1:2">
      <c r="A4904" s="29"/>
      <c r="B4904" s="30"/>
    </row>
    <row r="4905" spans="1:2">
      <c r="A4905" s="29"/>
      <c r="B4905" s="30"/>
    </row>
    <row r="4906" spans="1:2">
      <c r="A4906" s="29"/>
      <c r="B4906" s="30"/>
    </row>
    <row r="4907" spans="1:2">
      <c r="A4907" s="29"/>
      <c r="B4907" s="30"/>
    </row>
    <row r="4908" spans="1:2">
      <c r="A4908" s="29"/>
      <c r="B4908" s="30"/>
    </row>
    <row r="4909" spans="1:2">
      <c r="A4909" s="29"/>
      <c r="B4909" s="30"/>
    </row>
    <row r="4910" spans="1:2">
      <c r="A4910" s="29"/>
      <c r="B4910" s="30"/>
    </row>
    <row r="4911" spans="1:2">
      <c r="A4911" s="29"/>
      <c r="B4911" s="30"/>
    </row>
    <row r="4912" spans="1:2">
      <c r="A4912" s="29"/>
      <c r="B4912" s="30"/>
    </row>
    <row r="4913" spans="1:2">
      <c r="A4913" s="29"/>
      <c r="B4913" s="30"/>
    </row>
    <row r="4914" spans="1:2">
      <c r="A4914" s="29"/>
      <c r="B4914" s="30"/>
    </row>
    <row r="4915" spans="1:2">
      <c r="A4915" s="29"/>
      <c r="B4915" s="30"/>
    </row>
    <row r="4916" spans="1:2">
      <c r="A4916" s="29"/>
      <c r="B4916" s="30"/>
    </row>
    <row r="4917" spans="1:2">
      <c r="A4917" s="29"/>
      <c r="B4917" s="30"/>
    </row>
    <row r="4918" spans="1:2">
      <c r="A4918" s="29"/>
      <c r="B4918" s="30"/>
    </row>
    <row r="4919" spans="1:2">
      <c r="A4919" s="29"/>
      <c r="B4919" s="30"/>
    </row>
    <row r="4920" spans="1:2">
      <c r="A4920" s="29"/>
      <c r="B4920" s="30"/>
    </row>
    <row r="4921" spans="1:2">
      <c r="A4921" s="29"/>
      <c r="B4921" s="30"/>
    </row>
    <row r="4922" spans="1:2">
      <c r="A4922" s="29"/>
      <c r="B4922" s="30"/>
    </row>
    <row r="4923" spans="1:2">
      <c r="A4923" s="29"/>
      <c r="B4923" s="30"/>
    </row>
    <row r="4924" spans="1:2">
      <c r="A4924" s="29"/>
      <c r="B4924" s="30"/>
    </row>
    <row r="4925" spans="1:2">
      <c r="A4925" s="29"/>
      <c r="B4925" s="30"/>
    </row>
    <row r="4926" spans="1:2">
      <c r="A4926" s="29"/>
      <c r="B4926" s="30"/>
    </row>
    <row r="4927" spans="1:2">
      <c r="A4927" s="29"/>
      <c r="B4927" s="30"/>
    </row>
    <row r="4928" spans="1:2">
      <c r="A4928" s="29"/>
      <c r="B4928" s="30"/>
    </row>
    <row r="4929" spans="1:2">
      <c r="A4929" s="29"/>
      <c r="B4929" s="30"/>
    </row>
    <row r="4930" spans="1:2">
      <c r="A4930" s="29"/>
      <c r="B4930" s="30"/>
    </row>
    <row r="4931" spans="1:2">
      <c r="A4931" s="29"/>
      <c r="B4931" s="30"/>
    </row>
    <row r="4932" spans="1:2">
      <c r="A4932" s="29"/>
      <c r="B4932" s="30"/>
    </row>
    <row r="4933" spans="1:2">
      <c r="A4933" s="29"/>
      <c r="B4933" s="30"/>
    </row>
    <row r="4934" spans="1:2">
      <c r="A4934" s="29"/>
      <c r="B4934" s="30"/>
    </row>
    <row r="4935" spans="1:2">
      <c r="A4935" s="29"/>
      <c r="B4935" s="30"/>
    </row>
    <row r="4936" spans="1:2">
      <c r="A4936" s="29"/>
      <c r="B4936" s="30"/>
    </row>
    <row r="4937" spans="1:2">
      <c r="A4937" s="29"/>
      <c r="B4937" s="30"/>
    </row>
    <row r="4938" spans="1:2">
      <c r="A4938" s="29"/>
      <c r="B4938" s="30"/>
    </row>
    <row r="4939" spans="1:2">
      <c r="A4939" s="29"/>
      <c r="B4939" s="30"/>
    </row>
    <row r="4940" spans="1:2">
      <c r="A4940" s="29"/>
      <c r="B4940" s="30"/>
    </row>
    <row r="4941" spans="1:2">
      <c r="A4941" s="29"/>
      <c r="B4941" s="30"/>
    </row>
    <row r="4942" spans="1:2">
      <c r="A4942" s="29"/>
      <c r="B4942" s="30"/>
    </row>
    <row r="4943" spans="1:2">
      <c r="A4943" s="29"/>
      <c r="B4943" s="30"/>
    </row>
    <row r="4944" spans="1:2">
      <c r="A4944" s="29"/>
      <c r="B4944" s="30"/>
    </row>
    <row r="4945" spans="1:2">
      <c r="A4945" s="29"/>
      <c r="B4945" s="30"/>
    </row>
    <row r="4946" spans="1:2">
      <c r="A4946" s="29"/>
      <c r="B4946" s="30"/>
    </row>
    <row r="4947" spans="1:2">
      <c r="A4947" s="29"/>
      <c r="B4947" s="30"/>
    </row>
    <row r="4948" spans="1:2">
      <c r="A4948" s="29"/>
      <c r="B4948" s="30"/>
    </row>
    <row r="4949" spans="1:2">
      <c r="A4949" s="29"/>
      <c r="B4949" s="30"/>
    </row>
    <row r="4950" spans="1:2">
      <c r="A4950" s="29"/>
      <c r="B4950" s="30"/>
    </row>
    <row r="4951" spans="1:2">
      <c r="A4951" s="29"/>
      <c r="B4951" s="30"/>
    </row>
    <row r="4952" spans="1:2">
      <c r="A4952" s="29"/>
      <c r="B4952" s="30"/>
    </row>
    <row r="4953" spans="1:2">
      <c r="A4953" s="29"/>
      <c r="B4953" s="30"/>
    </row>
    <row r="4954" spans="1:2">
      <c r="A4954" s="29"/>
      <c r="B4954" s="30"/>
    </row>
    <row r="4955" spans="1:2">
      <c r="A4955" s="29"/>
      <c r="B4955" s="30"/>
    </row>
    <row r="4956" spans="1:2">
      <c r="A4956" s="29"/>
      <c r="B4956" s="30"/>
    </row>
    <row r="4957" spans="1:2">
      <c r="A4957" s="29"/>
      <c r="B4957" s="30"/>
    </row>
    <row r="4958" spans="1:2">
      <c r="A4958" s="29"/>
      <c r="B4958" s="30"/>
    </row>
    <row r="4959" spans="1:2">
      <c r="A4959" s="29"/>
      <c r="B4959" s="30"/>
    </row>
    <row r="4960" spans="1:2">
      <c r="A4960" s="29"/>
      <c r="B4960" s="30"/>
    </row>
    <row r="4961" spans="1:2">
      <c r="A4961" s="29"/>
      <c r="B4961" s="30"/>
    </row>
    <row r="4962" spans="1:2">
      <c r="A4962" s="29"/>
      <c r="B4962" s="30"/>
    </row>
    <row r="4963" spans="1:2">
      <c r="A4963" s="29"/>
      <c r="B4963" s="30"/>
    </row>
    <row r="4964" spans="1:2">
      <c r="A4964" s="29"/>
      <c r="B4964" s="30"/>
    </row>
    <row r="4965" spans="1:2">
      <c r="A4965" s="29"/>
      <c r="B4965" s="30"/>
    </row>
    <row r="4966" spans="1:2">
      <c r="A4966" s="29"/>
      <c r="B4966" s="30"/>
    </row>
    <row r="4967" spans="1:2">
      <c r="A4967" s="29"/>
      <c r="B4967" s="30"/>
    </row>
    <row r="4968" spans="1:2">
      <c r="A4968" s="29"/>
      <c r="B4968" s="30"/>
    </row>
    <row r="4969" spans="1:2">
      <c r="A4969" s="29"/>
      <c r="B4969" s="30"/>
    </row>
    <row r="4970" spans="1:2">
      <c r="A4970" s="29"/>
      <c r="B4970" s="30"/>
    </row>
    <row r="4971" spans="1:2">
      <c r="A4971" s="29"/>
      <c r="B4971" s="30"/>
    </row>
    <row r="4972" spans="1:2">
      <c r="A4972" s="29"/>
      <c r="B4972" s="30"/>
    </row>
    <row r="4973" spans="1:2">
      <c r="A4973" s="29"/>
      <c r="B4973" s="30"/>
    </row>
    <row r="4974" spans="1:2">
      <c r="A4974" s="29"/>
      <c r="B4974" s="30"/>
    </row>
    <row r="4975" spans="1:2">
      <c r="A4975" s="29"/>
      <c r="B4975" s="30"/>
    </row>
    <row r="4976" spans="1:2">
      <c r="A4976" s="29"/>
      <c r="B4976" s="30"/>
    </row>
    <row r="4977" spans="1:2">
      <c r="A4977" s="29"/>
      <c r="B4977" s="30"/>
    </row>
    <row r="4978" spans="1:2">
      <c r="A4978" s="29"/>
      <c r="B4978" s="30"/>
    </row>
    <row r="4979" spans="1:2">
      <c r="A4979" s="29"/>
      <c r="B4979" s="30"/>
    </row>
    <row r="4980" spans="1:2">
      <c r="A4980" s="29"/>
      <c r="B4980" s="30"/>
    </row>
    <row r="4981" spans="1:2">
      <c r="A4981" s="29"/>
      <c r="B4981" s="30"/>
    </row>
    <row r="4982" spans="1:2">
      <c r="A4982" s="29"/>
      <c r="B4982" s="30"/>
    </row>
    <row r="4983" spans="1:2">
      <c r="A4983" s="29"/>
      <c r="B4983" s="30"/>
    </row>
    <row r="4984" spans="1:2">
      <c r="A4984" s="29"/>
      <c r="B4984" s="30"/>
    </row>
    <row r="4985" spans="1:2">
      <c r="A4985" s="29"/>
      <c r="B4985" s="30"/>
    </row>
    <row r="4986" spans="1:2">
      <c r="A4986" s="29"/>
      <c r="B4986" s="30"/>
    </row>
    <row r="4987" spans="1:2">
      <c r="A4987" s="29"/>
      <c r="B4987" s="30"/>
    </row>
    <row r="4988" spans="1:2">
      <c r="A4988" s="29"/>
      <c r="B4988" s="30"/>
    </row>
    <row r="4989" spans="1:2">
      <c r="A4989" s="29"/>
      <c r="B4989" s="30"/>
    </row>
    <row r="4990" spans="1:2">
      <c r="A4990" s="29"/>
      <c r="B4990" s="30"/>
    </row>
    <row r="4991" spans="1:2">
      <c r="A4991" s="29"/>
      <c r="B4991" s="30"/>
    </row>
    <row r="4992" spans="1:2">
      <c r="A4992" s="29"/>
      <c r="B4992" s="30"/>
    </row>
    <row r="4993" spans="1:2">
      <c r="A4993" s="29"/>
      <c r="B4993" s="30"/>
    </row>
    <row r="4994" spans="1:2">
      <c r="A4994" s="29"/>
      <c r="B4994" s="30"/>
    </row>
    <row r="4995" spans="1:2">
      <c r="A4995" s="29"/>
      <c r="B4995" s="30"/>
    </row>
    <row r="4996" spans="1:2">
      <c r="A4996" s="29"/>
      <c r="B4996" s="30"/>
    </row>
    <row r="4997" spans="1:2">
      <c r="A4997" s="29"/>
      <c r="B4997" s="30"/>
    </row>
    <row r="4998" spans="1:2">
      <c r="A4998" s="29"/>
      <c r="B4998" s="30"/>
    </row>
    <row r="4999" spans="1:2">
      <c r="A4999" s="29"/>
      <c r="B4999" s="30"/>
    </row>
    <row r="5000" spans="1:2">
      <c r="A5000" s="29"/>
      <c r="B5000" s="30"/>
    </row>
    <row r="5001" spans="1:2">
      <c r="A5001" s="29"/>
      <c r="B5001" s="30"/>
    </row>
    <row r="5002" spans="1:2">
      <c r="A5002" s="29"/>
      <c r="B5002" s="30"/>
    </row>
    <row r="5003" spans="1:2">
      <c r="A5003" s="29"/>
      <c r="B5003" s="30"/>
    </row>
    <row r="5004" spans="1:2">
      <c r="A5004" s="29"/>
      <c r="B5004" s="30"/>
    </row>
    <row r="5005" spans="1:2">
      <c r="A5005" s="29"/>
      <c r="B5005" s="30"/>
    </row>
    <row r="5006" spans="1:2">
      <c r="A5006" s="29"/>
      <c r="B5006" s="30"/>
    </row>
    <row r="5007" spans="1:2">
      <c r="A5007" s="29"/>
      <c r="B5007" s="30"/>
    </row>
    <row r="5008" spans="1:2">
      <c r="A5008" s="29"/>
      <c r="B5008" s="30"/>
    </row>
    <row r="5009" spans="1:2">
      <c r="A5009" s="29"/>
      <c r="B5009" s="30"/>
    </row>
    <row r="5010" spans="1:2">
      <c r="A5010" s="29"/>
      <c r="B5010" s="30"/>
    </row>
    <row r="5011" spans="1:2">
      <c r="A5011" s="29"/>
      <c r="B5011" s="30"/>
    </row>
    <row r="5012" spans="1:2">
      <c r="A5012" s="29"/>
      <c r="B5012" s="30"/>
    </row>
    <row r="5013" spans="1:2">
      <c r="A5013" s="29"/>
      <c r="B5013" s="30"/>
    </row>
    <row r="5014" spans="1:2">
      <c r="A5014" s="29"/>
      <c r="B5014" s="30"/>
    </row>
    <row r="5015" spans="1:2">
      <c r="A5015" s="29"/>
      <c r="B5015" s="30"/>
    </row>
    <row r="5016" spans="1:2">
      <c r="A5016" s="29"/>
      <c r="B5016" s="30"/>
    </row>
    <row r="5017" spans="1:2">
      <c r="A5017" s="29"/>
      <c r="B5017" s="30"/>
    </row>
    <row r="5018" spans="1:2">
      <c r="A5018" s="29"/>
      <c r="B5018" s="30"/>
    </row>
    <row r="5019" spans="1:2">
      <c r="A5019" s="29"/>
      <c r="B5019" s="30"/>
    </row>
    <row r="5020" spans="1:2">
      <c r="A5020" s="29"/>
      <c r="B5020" s="30"/>
    </row>
    <row r="5021" spans="1:2">
      <c r="A5021" s="29"/>
      <c r="B5021" s="30"/>
    </row>
    <row r="5022" spans="1:2">
      <c r="A5022" s="29"/>
      <c r="B5022" s="30"/>
    </row>
    <row r="5023" spans="1:2">
      <c r="A5023" s="29"/>
      <c r="B5023" s="30"/>
    </row>
    <row r="5024" spans="1:2">
      <c r="A5024" s="29"/>
      <c r="B5024" s="30"/>
    </row>
    <row r="5025" spans="1:2">
      <c r="A5025" s="29"/>
      <c r="B5025" s="30"/>
    </row>
    <row r="5026" spans="1:2">
      <c r="A5026" s="29"/>
      <c r="B5026" s="30"/>
    </row>
    <row r="5027" spans="1:2">
      <c r="A5027" s="29"/>
      <c r="B5027" s="30"/>
    </row>
    <row r="5028" spans="1:2">
      <c r="A5028" s="29"/>
      <c r="B5028" s="30"/>
    </row>
    <row r="5029" spans="1:2">
      <c r="A5029" s="29"/>
      <c r="B5029" s="30"/>
    </row>
    <row r="5030" spans="1:2">
      <c r="A5030" s="29"/>
      <c r="B5030" s="30"/>
    </row>
    <row r="5031" spans="1:2">
      <c r="A5031" s="29"/>
      <c r="B5031" s="30"/>
    </row>
    <row r="5032" spans="1:2">
      <c r="A5032" s="29"/>
      <c r="B5032" s="30"/>
    </row>
    <row r="5033" spans="1:2">
      <c r="A5033" s="29"/>
      <c r="B5033" s="30"/>
    </row>
    <row r="5034" spans="1:2">
      <c r="A5034" s="29"/>
      <c r="B5034" s="30"/>
    </row>
    <row r="5035" spans="1:2">
      <c r="A5035" s="29"/>
      <c r="B5035" s="30"/>
    </row>
    <row r="5036" spans="1:2">
      <c r="A5036" s="29"/>
      <c r="B5036" s="30"/>
    </row>
    <row r="5037" spans="1:2">
      <c r="A5037" s="29"/>
      <c r="B5037" s="30"/>
    </row>
    <row r="5038" spans="1:2">
      <c r="A5038" s="29"/>
      <c r="B5038" s="30"/>
    </row>
    <row r="5039" spans="1:2">
      <c r="A5039" s="29"/>
      <c r="B5039" s="30"/>
    </row>
    <row r="5040" spans="1:2">
      <c r="A5040" s="29"/>
      <c r="B5040" s="30"/>
    </row>
    <row r="5041" spans="1:2">
      <c r="A5041" s="29"/>
      <c r="B5041" s="30"/>
    </row>
    <row r="5042" spans="1:2">
      <c r="A5042" s="29"/>
      <c r="B5042" s="30"/>
    </row>
    <row r="5043" spans="1:2">
      <c r="A5043" s="29"/>
      <c r="B5043" s="30"/>
    </row>
    <row r="5044" spans="1:2">
      <c r="A5044" s="29"/>
      <c r="B5044" s="30"/>
    </row>
    <row r="5045" spans="1:2">
      <c r="A5045" s="29"/>
      <c r="B5045" s="30"/>
    </row>
    <row r="5046" spans="1:2">
      <c r="A5046" s="29"/>
      <c r="B5046" s="30"/>
    </row>
    <row r="5047" spans="1:2">
      <c r="A5047" s="29"/>
      <c r="B5047" s="30"/>
    </row>
    <row r="5048" spans="1:2">
      <c r="A5048" s="29"/>
      <c r="B5048" s="30"/>
    </row>
    <row r="5049" spans="1:2">
      <c r="A5049" s="29"/>
      <c r="B5049" s="30"/>
    </row>
    <row r="5050" spans="1:2">
      <c r="A5050" s="29"/>
      <c r="B5050" s="30"/>
    </row>
    <row r="5051" spans="1:2">
      <c r="A5051" s="29"/>
      <c r="B5051" s="30"/>
    </row>
    <row r="5052" spans="1:2">
      <c r="A5052" s="29"/>
      <c r="B5052" s="30"/>
    </row>
    <row r="5053" spans="1:2">
      <c r="A5053" s="29"/>
      <c r="B5053" s="30"/>
    </row>
    <row r="5054" spans="1:2">
      <c r="A5054" s="29"/>
      <c r="B5054" s="30"/>
    </row>
    <row r="5055" spans="1:2">
      <c r="A5055" s="29"/>
      <c r="B5055" s="30"/>
    </row>
    <row r="5056" spans="1:2">
      <c r="A5056" s="29"/>
      <c r="B5056" s="30"/>
    </row>
    <row r="5057" spans="1:2">
      <c r="A5057" s="29"/>
      <c r="B5057" s="30"/>
    </row>
    <row r="5058" spans="1:2">
      <c r="A5058" s="29"/>
      <c r="B5058" s="30"/>
    </row>
    <row r="5059" spans="1:2">
      <c r="A5059" s="29"/>
      <c r="B5059" s="30"/>
    </row>
    <row r="5060" spans="1:2">
      <c r="A5060" s="29"/>
      <c r="B5060" s="30"/>
    </row>
    <row r="5061" spans="1:2">
      <c r="A5061" s="29"/>
      <c r="B5061" s="30"/>
    </row>
    <row r="5062" spans="1:2">
      <c r="A5062" s="29"/>
      <c r="B5062" s="30"/>
    </row>
    <row r="5063" spans="1:2">
      <c r="A5063" s="29"/>
      <c r="B5063" s="30"/>
    </row>
    <row r="5064" spans="1:2">
      <c r="A5064" s="29"/>
      <c r="B5064" s="30"/>
    </row>
    <row r="5065" spans="1:2">
      <c r="A5065" s="29"/>
      <c r="B5065" s="30"/>
    </row>
    <row r="5066" spans="1:2">
      <c r="A5066" s="29"/>
      <c r="B5066" s="30"/>
    </row>
    <row r="5067" spans="1:2">
      <c r="A5067" s="29"/>
      <c r="B5067" s="30"/>
    </row>
    <row r="5068" spans="1:2">
      <c r="A5068" s="29"/>
      <c r="B5068" s="30"/>
    </row>
    <row r="5069" spans="1:2">
      <c r="A5069" s="29"/>
      <c r="B5069" s="30"/>
    </row>
    <row r="5070" spans="1:2">
      <c r="A5070" s="29"/>
      <c r="B5070" s="30"/>
    </row>
    <row r="5071" spans="1:2">
      <c r="A5071" s="29"/>
      <c r="B5071" s="30"/>
    </row>
    <row r="5072" spans="1:2">
      <c r="A5072" s="29"/>
      <c r="B5072" s="30"/>
    </row>
    <row r="5073" spans="1:13">
      <c r="A5073" s="29"/>
      <c r="B5073" s="30"/>
    </row>
    <row r="5074" spans="1:13">
      <c r="A5074" s="29"/>
      <c r="B5074" s="30"/>
    </row>
    <row r="5075" spans="1:13">
      <c r="A5075" s="29"/>
      <c r="B5075" s="30"/>
    </row>
    <row r="5076" spans="1:13">
      <c r="A5076" s="29"/>
      <c r="B5076" s="30"/>
    </row>
    <row r="5077" spans="1:13">
      <c r="A5077" s="29"/>
      <c r="B5077" s="30"/>
    </row>
    <row r="5078" spans="1:13">
      <c r="A5078" s="29"/>
      <c r="B5078" s="30"/>
    </row>
    <row r="5079" spans="1:13">
      <c r="A5079" s="29"/>
      <c r="B5079" s="30"/>
    </row>
    <row r="5080" spans="1:13">
      <c r="A5080" s="29"/>
      <c r="B5080" s="30"/>
    </row>
    <row r="5081" spans="1:13">
      <c r="A5081" s="29"/>
      <c r="B5081" s="30"/>
      <c r="M5081" s="30"/>
    </row>
    <row r="5082" spans="1:13">
      <c r="A5082" s="29"/>
      <c r="B5082" s="30"/>
    </row>
    <row r="5083" spans="1:13">
      <c r="A5083" s="29"/>
      <c r="B5083" s="30"/>
    </row>
    <row r="5084" spans="1:13">
      <c r="A5084" s="29"/>
      <c r="B5084" s="30"/>
    </row>
    <row r="5085" spans="1:13">
      <c r="A5085" s="29"/>
      <c r="B5085" s="30"/>
    </row>
    <row r="5086" spans="1:13">
      <c r="A5086" s="29"/>
      <c r="B5086" s="30"/>
    </row>
    <row r="5087" spans="1:13">
      <c r="A5087" s="29"/>
      <c r="B5087" s="30"/>
    </row>
    <row r="5088" spans="1:13">
      <c r="A5088" s="29"/>
      <c r="B5088" s="30"/>
    </row>
    <row r="5089" spans="1:2">
      <c r="A5089" s="29"/>
      <c r="B5089" s="30"/>
    </row>
    <row r="5090" spans="1:2">
      <c r="A5090" s="29"/>
      <c r="B5090" s="30"/>
    </row>
    <row r="5091" spans="1:2">
      <c r="A5091" s="29"/>
      <c r="B5091" s="30"/>
    </row>
    <row r="5092" spans="1:2">
      <c r="A5092" s="29"/>
      <c r="B5092" s="30"/>
    </row>
    <row r="5093" spans="1:2">
      <c r="A5093" s="29"/>
      <c r="B5093" s="30"/>
    </row>
    <row r="5094" spans="1:2">
      <c r="A5094" s="29"/>
      <c r="B5094" s="30"/>
    </row>
    <row r="5095" spans="1:2">
      <c r="A5095" s="29"/>
      <c r="B5095" s="30"/>
    </row>
    <row r="5096" spans="1:2">
      <c r="A5096" s="29"/>
      <c r="B5096" s="30"/>
    </row>
    <row r="5097" spans="1:2">
      <c r="A5097" s="29"/>
      <c r="B5097" s="30"/>
    </row>
    <row r="5098" spans="1:2">
      <c r="A5098" s="29"/>
      <c r="B5098" s="30"/>
    </row>
    <row r="5099" spans="1:2">
      <c r="A5099" s="29"/>
      <c r="B5099" s="30"/>
    </row>
    <row r="5100" spans="1:2">
      <c r="A5100" s="29"/>
      <c r="B5100" s="30"/>
    </row>
    <row r="5101" spans="1:2">
      <c r="A5101" s="29"/>
      <c r="B5101" s="30"/>
    </row>
    <row r="5102" spans="1:2">
      <c r="A5102" s="29"/>
      <c r="B5102" s="30"/>
    </row>
    <row r="5103" spans="1:2">
      <c r="A5103" s="29"/>
      <c r="B5103" s="30"/>
    </row>
    <row r="5104" spans="1:2">
      <c r="A5104" s="29"/>
      <c r="B5104" s="30"/>
    </row>
    <row r="5105" spans="1:2">
      <c r="A5105" s="29"/>
      <c r="B5105" s="30"/>
    </row>
    <row r="5106" spans="1:2">
      <c r="A5106" s="29"/>
      <c r="B5106" s="30"/>
    </row>
    <row r="5107" spans="1:2">
      <c r="A5107" s="29"/>
      <c r="B5107" s="30"/>
    </row>
    <row r="5108" spans="1:2">
      <c r="A5108" s="29"/>
      <c r="B5108" s="30"/>
    </row>
    <row r="5109" spans="1:2">
      <c r="A5109" s="29"/>
      <c r="B5109" s="30"/>
    </row>
    <row r="5110" spans="1:2">
      <c r="A5110" s="29"/>
      <c r="B5110" s="30"/>
    </row>
    <row r="5111" spans="1:2">
      <c r="A5111" s="29"/>
      <c r="B5111" s="30"/>
    </row>
    <row r="5112" spans="1:2">
      <c r="A5112" s="29"/>
      <c r="B5112" s="30"/>
    </row>
    <row r="5113" spans="1:2">
      <c r="A5113" s="29"/>
      <c r="B5113" s="30"/>
    </row>
    <row r="5114" spans="1:2">
      <c r="A5114" s="29"/>
      <c r="B5114" s="30"/>
    </row>
    <row r="5115" spans="1:2">
      <c r="A5115" s="29"/>
      <c r="B5115" s="30"/>
    </row>
    <row r="5116" spans="1:2">
      <c r="A5116" s="29"/>
      <c r="B5116" s="30"/>
    </row>
    <row r="5117" spans="1:2">
      <c r="A5117" s="29"/>
      <c r="B5117" s="30"/>
    </row>
    <row r="5118" spans="1:2">
      <c r="A5118" s="29"/>
      <c r="B5118" s="30"/>
    </row>
    <row r="5119" spans="1:2">
      <c r="A5119" s="29"/>
      <c r="B5119" s="30"/>
    </row>
    <row r="5120" spans="1:2">
      <c r="A5120" s="29"/>
      <c r="B5120" s="30"/>
    </row>
    <row r="5121" spans="1:2">
      <c r="A5121" s="29"/>
      <c r="B5121" s="30"/>
    </row>
    <row r="5122" spans="1:2">
      <c r="A5122" s="29"/>
      <c r="B5122" s="30"/>
    </row>
    <row r="5123" spans="1:2">
      <c r="A5123" s="29"/>
      <c r="B5123" s="30"/>
    </row>
    <row r="5124" spans="1:2">
      <c r="A5124" s="29"/>
      <c r="B5124" s="30"/>
    </row>
    <row r="5125" spans="1:2">
      <c r="A5125" s="29"/>
      <c r="B5125" s="30"/>
    </row>
    <row r="5126" spans="1:2">
      <c r="A5126" s="29"/>
      <c r="B5126" s="30"/>
    </row>
    <row r="5127" spans="1:2">
      <c r="A5127" s="29"/>
      <c r="B5127" s="30"/>
    </row>
    <row r="5128" spans="1:2">
      <c r="A5128" s="29"/>
      <c r="B5128" s="30"/>
    </row>
    <row r="5129" spans="1:2">
      <c r="A5129" s="29"/>
      <c r="B5129" s="30"/>
    </row>
    <row r="5130" spans="1:2">
      <c r="A5130" s="29"/>
      <c r="B5130" s="30"/>
    </row>
    <row r="5131" spans="1:2">
      <c r="A5131" s="29"/>
      <c r="B5131" s="30"/>
    </row>
    <row r="5132" spans="1:2">
      <c r="A5132" s="29"/>
      <c r="B5132" s="30"/>
    </row>
    <row r="5133" spans="1:2">
      <c r="A5133" s="29"/>
      <c r="B5133" s="30"/>
    </row>
    <row r="5134" spans="1:2">
      <c r="A5134" s="29"/>
      <c r="B5134" s="30"/>
    </row>
    <row r="5135" spans="1:2">
      <c r="A5135" s="29"/>
      <c r="B5135" s="30"/>
    </row>
    <row r="5136" spans="1:2">
      <c r="A5136" s="29"/>
      <c r="B5136" s="30"/>
    </row>
    <row r="5137" spans="1:2">
      <c r="A5137" s="29"/>
      <c r="B5137" s="30"/>
    </row>
    <row r="5138" spans="1:2">
      <c r="A5138" s="29"/>
      <c r="B5138" s="30"/>
    </row>
    <row r="5139" spans="1:2">
      <c r="A5139" s="29"/>
      <c r="B5139" s="30"/>
    </row>
    <row r="5140" spans="1:2">
      <c r="A5140" s="29"/>
      <c r="B5140" s="30"/>
    </row>
    <row r="5141" spans="1:2">
      <c r="A5141" s="29"/>
      <c r="B5141" s="30"/>
    </row>
    <row r="5142" spans="1:2">
      <c r="A5142" s="29"/>
      <c r="B5142" s="30"/>
    </row>
    <row r="5143" spans="1:2">
      <c r="A5143" s="29"/>
      <c r="B5143" s="30"/>
    </row>
    <row r="5144" spans="1:2">
      <c r="A5144" s="29"/>
      <c r="B5144" s="30"/>
    </row>
    <row r="5145" spans="1:2">
      <c r="A5145" s="29"/>
      <c r="B5145" s="30"/>
    </row>
    <row r="5146" spans="1:2">
      <c r="A5146" s="29"/>
      <c r="B5146" s="30"/>
    </row>
    <row r="5147" spans="1:2">
      <c r="A5147" s="29"/>
      <c r="B5147" s="30"/>
    </row>
    <row r="5148" spans="1:2">
      <c r="A5148" s="29"/>
      <c r="B5148" s="30"/>
    </row>
    <row r="5149" spans="1:2">
      <c r="A5149" s="29"/>
      <c r="B5149" s="30"/>
    </row>
    <row r="5150" spans="1:2">
      <c r="A5150" s="29"/>
      <c r="B5150" s="30"/>
    </row>
    <row r="5151" spans="1:2">
      <c r="A5151" s="29"/>
      <c r="B5151" s="30"/>
    </row>
    <row r="5152" spans="1:2">
      <c r="A5152" s="29"/>
      <c r="B5152" s="30"/>
    </row>
    <row r="5153" spans="1:2">
      <c r="A5153" s="29"/>
      <c r="B5153" s="30"/>
    </row>
    <row r="5154" spans="1:2">
      <c r="A5154" s="29"/>
      <c r="B5154" s="30"/>
    </row>
    <row r="5155" spans="1:2">
      <c r="A5155" s="29"/>
      <c r="B5155" s="30"/>
    </row>
    <row r="5156" spans="1:2">
      <c r="A5156" s="29"/>
      <c r="B5156" s="30"/>
    </row>
    <row r="5157" spans="1:2">
      <c r="A5157" s="29"/>
      <c r="B5157" s="30"/>
    </row>
    <row r="5158" spans="1:2">
      <c r="A5158" s="29"/>
      <c r="B5158" s="30"/>
    </row>
    <row r="5159" spans="1:2">
      <c r="A5159" s="29"/>
      <c r="B5159" s="30"/>
    </row>
    <row r="5160" spans="1:2">
      <c r="A5160" s="29"/>
      <c r="B5160" s="30"/>
    </row>
    <row r="5161" spans="1:2">
      <c r="A5161" s="29"/>
      <c r="B5161" s="30"/>
    </row>
    <row r="5162" spans="1:2">
      <c r="A5162" s="29"/>
      <c r="B5162" s="30"/>
    </row>
    <row r="5163" spans="1:2">
      <c r="A5163" s="29"/>
      <c r="B5163" s="30"/>
    </row>
    <row r="5164" spans="1:2">
      <c r="A5164" s="29"/>
      <c r="B5164" s="30"/>
    </row>
    <row r="5165" spans="1:2">
      <c r="A5165" s="29"/>
      <c r="B5165" s="30"/>
    </row>
    <row r="5166" spans="1:2">
      <c r="A5166" s="29"/>
      <c r="B5166" s="30"/>
    </row>
    <row r="5167" spans="1:2">
      <c r="A5167" s="29"/>
      <c r="B5167" s="30"/>
    </row>
    <row r="5168" spans="1:2">
      <c r="A5168" s="29"/>
      <c r="B5168" s="30"/>
    </row>
    <row r="5169" spans="1:2">
      <c r="A5169" s="29"/>
      <c r="B5169" s="30"/>
    </row>
    <row r="5170" spans="1:2">
      <c r="A5170" s="29"/>
      <c r="B5170" s="30"/>
    </row>
    <row r="5171" spans="1:2">
      <c r="A5171" s="29"/>
      <c r="B5171" s="30"/>
    </row>
    <row r="5172" spans="1:2">
      <c r="A5172" s="29"/>
      <c r="B5172" s="30"/>
    </row>
    <row r="5173" spans="1:2">
      <c r="A5173" s="29"/>
      <c r="B5173" s="30"/>
    </row>
    <row r="5174" spans="1:2">
      <c r="A5174" s="29"/>
      <c r="B5174" s="30"/>
    </row>
    <row r="5175" spans="1:2">
      <c r="A5175" s="29"/>
      <c r="B5175" s="30"/>
    </row>
    <row r="5176" spans="1:2">
      <c r="A5176" s="29"/>
      <c r="B5176" s="30"/>
    </row>
    <row r="5177" spans="1:2">
      <c r="A5177" s="29"/>
      <c r="B5177" s="30"/>
    </row>
    <row r="5178" spans="1:2">
      <c r="A5178" s="29"/>
      <c r="B5178" s="30"/>
    </row>
    <row r="5179" spans="1:2">
      <c r="A5179" s="29"/>
      <c r="B5179" s="30"/>
    </row>
    <row r="5180" spans="1:2">
      <c r="A5180" s="29"/>
      <c r="B5180" s="30"/>
    </row>
    <row r="5181" spans="1:2">
      <c r="A5181" s="29"/>
      <c r="B5181" s="30"/>
    </row>
    <row r="5182" spans="1:2">
      <c r="A5182" s="29"/>
      <c r="B5182" s="30"/>
    </row>
    <row r="5183" spans="1:2">
      <c r="A5183" s="29"/>
      <c r="B5183" s="30"/>
    </row>
    <row r="5184" spans="1:2">
      <c r="A5184" s="29"/>
      <c r="B5184" s="30"/>
    </row>
    <row r="5185" spans="1:2">
      <c r="A5185" s="29"/>
      <c r="B5185" s="30"/>
    </row>
    <row r="5186" spans="1:2">
      <c r="A5186" s="29"/>
      <c r="B5186" s="30"/>
    </row>
    <row r="5187" spans="1:2">
      <c r="A5187" s="29"/>
      <c r="B5187" s="30"/>
    </row>
    <row r="5188" spans="1:2">
      <c r="A5188" s="29"/>
      <c r="B5188" s="30"/>
    </row>
    <row r="5189" spans="1:2">
      <c r="A5189" s="29"/>
      <c r="B5189" s="30"/>
    </row>
    <row r="5190" spans="1:2">
      <c r="A5190" s="29"/>
      <c r="B5190" s="30"/>
    </row>
    <row r="5191" spans="1:2">
      <c r="A5191" s="29"/>
      <c r="B5191" s="30"/>
    </row>
    <row r="5192" spans="1:2">
      <c r="A5192" s="29"/>
      <c r="B5192" s="30"/>
    </row>
    <row r="5193" spans="1:2">
      <c r="A5193" s="29"/>
      <c r="B5193" s="30"/>
    </row>
    <row r="5194" spans="1:2">
      <c r="A5194" s="29"/>
      <c r="B5194" s="30"/>
    </row>
    <row r="5195" spans="1:2">
      <c r="A5195" s="29"/>
      <c r="B5195" s="30"/>
    </row>
    <row r="5196" spans="1:2">
      <c r="A5196" s="29"/>
      <c r="B5196" s="30"/>
    </row>
    <row r="5197" spans="1:2">
      <c r="A5197" s="29"/>
      <c r="B5197" s="30"/>
    </row>
    <row r="5198" spans="1:2">
      <c r="A5198" s="29"/>
      <c r="B5198" s="30"/>
    </row>
    <row r="5199" spans="1:2">
      <c r="A5199" s="29"/>
      <c r="B5199" s="30"/>
    </row>
    <row r="5200" spans="1:2">
      <c r="A5200" s="29"/>
      <c r="B5200" s="30"/>
    </row>
    <row r="5201" spans="1:2">
      <c r="A5201" s="29"/>
      <c r="B5201" s="30"/>
    </row>
    <row r="5202" spans="1:2">
      <c r="A5202" s="29"/>
      <c r="B5202" s="30"/>
    </row>
    <row r="5203" spans="1:2">
      <c r="A5203" s="29"/>
      <c r="B5203" s="30"/>
    </row>
    <row r="5204" spans="1:2">
      <c r="A5204" s="29"/>
      <c r="B5204" s="30"/>
    </row>
    <row r="5205" spans="1:2">
      <c r="A5205" s="29"/>
      <c r="B5205" s="30"/>
    </row>
    <row r="5206" spans="1:2">
      <c r="A5206" s="29"/>
      <c r="B5206" s="30"/>
    </row>
    <row r="5207" spans="1:2">
      <c r="A5207" s="29"/>
      <c r="B5207" s="30"/>
    </row>
    <row r="5208" spans="1:2">
      <c r="A5208" s="29"/>
      <c r="B5208" s="30"/>
    </row>
    <row r="5209" spans="1:2">
      <c r="A5209" s="29"/>
      <c r="B5209" s="30"/>
    </row>
    <row r="5210" spans="1:2">
      <c r="A5210" s="29"/>
      <c r="B5210" s="30"/>
    </row>
    <row r="5211" spans="1:2">
      <c r="A5211" s="29"/>
      <c r="B5211" s="30"/>
    </row>
    <row r="5212" spans="1:2">
      <c r="A5212" s="29"/>
      <c r="B5212" s="30"/>
    </row>
    <row r="5213" spans="1:2">
      <c r="A5213" s="29"/>
      <c r="B5213" s="30"/>
    </row>
    <row r="5214" spans="1:2">
      <c r="A5214" s="29"/>
      <c r="B5214" s="30"/>
    </row>
    <row r="5215" spans="1:2">
      <c r="A5215" s="29"/>
      <c r="B5215" s="30"/>
    </row>
    <row r="5216" spans="1:2">
      <c r="A5216" s="29"/>
      <c r="B5216" s="30"/>
    </row>
    <row r="5217" spans="1:2">
      <c r="A5217" s="29"/>
      <c r="B5217" s="30"/>
    </row>
    <row r="5218" spans="1:2">
      <c r="A5218" s="29"/>
      <c r="B5218" s="30"/>
    </row>
    <row r="5219" spans="1:2">
      <c r="A5219" s="29"/>
      <c r="B5219" s="30"/>
    </row>
    <row r="5220" spans="1:2">
      <c r="A5220" s="29"/>
      <c r="B5220" s="30"/>
    </row>
    <row r="5221" spans="1:2">
      <c r="A5221" s="29"/>
      <c r="B5221" s="30"/>
    </row>
    <row r="5222" spans="1:2">
      <c r="A5222" s="29"/>
      <c r="B5222" s="30"/>
    </row>
    <row r="5223" spans="1:2">
      <c r="A5223" s="29"/>
      <c r="B5223" s="30"/>
    </row>
    <row r="5224" spans="1:2">
      <c r="A5224" s="29"/>
      <c r="B5224" s="30"/>
    </row>
    <row r="5225" spans="1:2">
      <c r="A5225" s="29"/>
      <c r="B5225" s="30"/>
    </row>
    <row r="5226" spans="1:2">
      <c r="A5226" s="29"/>
      <c r="B5226" s="30"/>
    </row>
    <row r="5227" spans="1:2">
      <c r="A5227" s="29"/>
      <c r="B5227" s="30"/>
    </row>
    <row r="5228" spans="1:2">
      <c r="A5228" s="29"/>
      <c r="B5228" s="30"/>
    </row>
    <row r="5229" spans="1:2">
      <c r="A5229" s="29"/>
      <c r="B5229" s="30"/>
    </row>
    <row r="5230" spans="1:2">
      <c r="A5230" s="29"/>
      <c r="B5230" s="30"/>
    </row>
    <row r="5231" spans="1:2">
      <c r="A5231" s="29"/>
      <c r="B5231" s="30"/>
    </row>
    <row r="5232" spans="1:2">
      <c r="A5232" s="29"/>
      <c r="B5232" s="30"/>
    </row>
    <row r="5233" spans="1:2">
      <c r="A5233" s="29"/>
      <c r="B5233" s="30"/>
    </row>
    <row r="5234" spans="1:2">
      <c r="A5234" s="29"/>
      <c r="B5234" s="30"/>
    </row>
    <row r="5235" spans="1:2">
      <c r="A5235" s="29"/>
      <c r="B5235" s="30"/>
    </row>
    <row r="5236" spans="1:2">
      <c r="A5236" s="29"/>
      <c r="B5236" s="30"/>
    </row>
    <row r="5237" spans="1:2">
      <c r="A5237" s="29"/>
      <c r="B5237" s="30"/>
    </row>
    <row r="5238" spans="1:2">
      <c r="A5238" s="29"/>
      <c r="B5238" s="30"/>
    </row>
    <row r="5239" spans="1:2">
      <c r="A5239" s="29"/>
      <c r="B5239" s="30"/>
    </row>
    <row r="5240" spans="1:2">
      <c r="A5240" s="29"/>
      <c r="B5240" s="30"/>
    </row>
    <row r="5241" spans="1:2">
      <c r="A5241" s="29"/>
      <c r="B5241" s="30"/>
    </row>
    <row r="5242" spans="1:2">
      <c r="A5242" s="29"/>
      <c r="B5242" s="30"/>
    </row>
    <row r="5243" spans="1:2">
      <c r="A5243" s="29"/>
      <c r="B5243" s="30"/>
    </row>
    <row r="5244" spans="1:2">
      <c r="A5244" s="29"/>
      <c r="B5244" s="30"/>
    </row>
    <row r="5245" spans="1:2">
      <c r="A5245" s="29"/>
      <c r="B5245" s="30"/>
    </row>
    <row r="5246" spans="1:2">
      <c r="A5246" s="29"/>
      <c r="B5246" s="30"/>
    </row>
    <row r="5247" spans="1:2">
      <c r="A5247" s="29"/>
      <c r="B5247" s="30"/>
    </row>
    <row r="5248" spans="1:2">
      <c r="A5248" s="29"/>
      <c r="B5248" s="30"/>
    </row>
    <row r="5249" spans="1:2">
      <c r="A5249" s="29"/>
      <c r="B5249" s="30"/>
    </row>
    <row r="5250" spans="1:2">
      <c r="A5250" s="29"/>
      <c r="B5250" s="30"/>
    </row>
    <row r="5251" spans="1:2">
      <c r="A5251" s="29"/>
      <c r="B5251" s="30"/>
    </row>
    <row r="5252" spans="1:2">
      <c r="A5252" s="29"/>
      <c r="B5252" s="30"/>
    </row>
    <row r="5253" spans="1:2">
      <c r="A5253" s="29"/>
      <c r="B5253" s="30"/>
    </row>
    <row r="5254" spans="1:2">
      <c r="A5254" s="29"/>
      <c r="B5254" s="30"/>
    </row>
    <row r="5255" spans="1:2">
      <c r="A5255" s="29"/>
      <c r="B5255" s="30"/>
    </row>
    <row r="5256" spans="1:2">
      <c r="A5256" s="29"/>
      <c r="B5256" s="30"/>
    </row>
    <row r="5257" spans="1:2">
      <c r="A5257" s="29"/>
      <c r="B5257" s="30"/>
    </row>
    <row r="5258" spans="1:2">
      <c r="A5258" s="29"/>
      <c r="B5258" s="30"/>
    </row>
    <row r="5259" spans="1:2">
      <c r="A5259" s="29"/>
      <c r="B5259" s="30"/>
    </row>
    <row r="5260" spans="1:2">
      <c r="A5260" s="29"/>
      <c r="B5260" s="30"/>
    </row>
    <row r="5261" spans="1:2">
      <c r="A5261" s="29"/>
      <c r="B5261" s="30"/>
    </row>
    <row r="5262" spans="1:2">
      <c r="A5262" s="29"/>
      <c r="B5262" s="30"/>
    </row>
    <row r="5263" spans="1:2">
      <c r="A5263" s="29"/>
      <c r="B5263" s="30"/>
    </row>
    <row r="5264" spans="1:2">
      <c r="A5264" s="29"/>
      <c r="B5264" s="30"/>
    </row>
    <row r="5265" spans="1:13">
      <c r="A5265" s="29"/>
      <c r="B5265" s="30"/>
    </row>
    <row r="5266" spans="1:13">
      <c r="A5266" s="29"/>
      <c r="B5266" s="30"/>
    </row>
    <row r="5267" spans="1:13">
      <c r="A5267" s="29"/>
      <c r="B5267" s="30"/>
    </row>
    <row r="5268" spans="1:13">
      <c r="A5268" s="29"/>
      <c r="B5268" s="30"/>
    </row>
    <row r="5269" spans="1:13">
      <c r="A5269" s="29"/>
      <c r="B5269" s="30"/>
    </row>
    <row r="5270" spans="1:13">
      <c r="A5270" s="29"/>
      <c r="B5270" s="30"/>
    </row>
    <row r="5271" spans="1:13">
      <c r="A5271" s="29"/>
      <c r="B5271" s="30"/>
    </row>
    <row r="5272" spans="1:13">
      <c r="A5272" s="29"/>
      <c r="B5272" s="30"/>
      <c r="M5272" s="30"/>
    </row>
    <row r="5273" spans="1:13">
      <c r="A5273" s="29"/>
      <c r="B5273" s="30"/>
    </row>
    <row r="5274" spans="1:13">
      <c r="A5274" s="29"/>
      <c r="B5274" s="30"/>
    </row>
    <row r="5275" spans="1:13">
      <c r="A5275" s="29"/>
      <c r="B5275" s="30"/>
    </row>
    <row r="5276" spans="1:13">
      <c r="A5276" s="29"/>
      <c r="B5276" s="30"/>
      <c r="M5276" s="30"/>
    </row>
    <row r="5277" spans="1:13">
      <c r="A5277" s="29"/>
      <c r="B5277" s="30"/>
    </row>
    <row r="5278" spans="1:13">
      <c r="A5278" s="29"/>
      <c r="B5278" s="30"/>
    </row>
    <row r="5279" spans="1:13">
      <c r="A5279" s="29"/>
      <c r="B5279" s="30"/>
    </row>
    <row r="5280" spans="1:13">
      <c r="A5280" s="29"/>
      <c r="B5280" s="30"/>
    </row>
    <row r="5281" spans="1:2">
      <c r="A5281" s="29"/>
      <c r="B5281" s="30"/>
    </row>
    <row r="5282" spans="1:2">
      <c r="A5282" s="29"/>
      <c r="B5282" s="30"/>
    </row>
    <row r="5283" spans="1:2">
      <c r="A5283" s="29"/>
      <c r="B5283" s="30"/>
    </row>
    <row r="5284" spans="1:2">
      <c r="A5284" s="29"/>
      <c r="B5284" s="30"/>
    </row>
    <row r="5285" spans="1:2">
      <c r="A5285" s="29"/>
      <c r="B5285" s="30"/>
    </row>
    <row r="5286" spans="1:2">
      <c r="A5286" s="29"/>
      <c r="B5286" s="30"/>
    </row>
    <row r="5287" spans="1:2">
      <c r="A5287" s="29"/>
      <c r="B5287" s="30"/>
    </row>
    <row r="5288" spans="1:2">
      <c r="A5288" s="29"/>
      <c r="B5288" s="30"/>
    </row>
    <row r="5289" spans="1:2">
      <c r="A5289" s="29"/>
      <c r="B5289" s="30"/>
    </row>
    <row r="5290" spans="1:2">
      <c r="A5290" s="29"/>
      <c r="B5290" s="30"/>
    </row>
    <row r="5291" spans="1:2">
      <c r="A5291" s="29"/>
      <c r="B5291" s="30"/>
    </row>
    <row r="5292" spans="1:2">
      <c r="A5292" s="29"/>
      <c r="B5292" s="30"/>
    </row>
    <row r="5293" spans="1:2">
      <c r="A5293" s="29"/>
      <c r="B5293" s="30"/>
    </row>
    <row r="5294" spans="1:2">
      <c r="A5294" s="29"/>
      <c r="B5294" s="30"/>
    </row>
    <row r="5295" spans="1:2">
      <c r="A5295" s="29"/>
      <c r="B5295" s="30"/>
    </row>
    <row r="5296" spans="1:2">
      <c r="A5296" s="29"/>
      <c r="B5296" s="30"/>
    </row>
    <row r="5297" spans="1:2">
      <c r="A5297" s="29"/>
      <c r="B5297" s="30"/>
    </row>
    <row r="5298" spans="1:2">
      <c r="A5298" s="29"/>
      <c r="B5298" s="30"/>
    </row>
    <row r="5299" spans="1:2">
      <c r="A5299" s="29"/>
      <c r="B5299" s="30"/>
    </row>
    <row r="5300" spans="1:2">
      <c r="A5300" s="29"/>
      <c r="B5300" s="30"/>
    </row>
    <row r="5301" spans="1:2">
      <c r="A5301" s="29"/>
      <c r="B5301" s="30"/>
    </row>
    <row r="5302" spans="1:2">
      <c r="A5302" s="29"/>
      <c r="B5302" s="30"/>
    </row>
    <row r="5303" spans="1:2">
      <c r="A5303" s="29"/>
      <c r="B5303" s="30"/>
    </row>
    <row r="5304" spans="1:2">
      <c r="A5304" s="29"/>
      <c r="B5304" s="30"/>
    </row>
    <row r="5305" spans="1:2">
      <c r="A5305" s="29"/>
      <c r="B5305" s="30"/>
    </row>
    <row r="5306" spans="1:2">
      <c r="A5306" s="29"/>
      <c r="B5306" s="30"/>
    </row>
    <row r="5307" spans="1:2">
      <c r="A5307" s="29"/>
      <c r="B5307" s="30"/>
    </row>
    <row r="5308" spans="1:2">
      <c r="A5308" s="29"/>
      <c r="B5308" s="30"/>
    </row>
    <row r="5309" spans="1:2">
      <c r="A5309" s="29"/>
      <c r="B5309" s="30"/>
    </row>
    <row r="5310" spans="1:2">
      <c r="A5310" s="29"/>
      <c r="B5310" s="30"/>
    </row>
    <row r="5311" spans="1:2">
      <c r="A5311" s="29"/>
      <c r="B5311" s="30"/>
    </row>
    <row r="5312" spans="1:2">
      <c r="A5312" s="29"/>
      <c r="B5312" s="30"/>
    </row>
    <row r="5313" spans="1:13">
      <c r="A5313" s="29"/>
      <c r="B5313" s="30"/>
    </row>
    <row r="5314" spans="1:13">
      <c r="A5314" s="29"/>
      <c r="B5314" s="30"/>
      <c r="M5314" s="30"/>
    </row>
    <row r="5315" spans="1:13">
      <c r="A5315" s="29"/>
      <c r="B5315" s="30"/>
    </row>
    <row r="5316" spans="1:13">
      <c r="A5316" s="29"/>
      <c r="B5316" s="30"/>
    </row>
    <row r="5317" spans="1:13">
      <c r="A5317" s="29"/>
      <c r="B5317" s="30"/>
    </row>
    <row r="5318" spans="1:13">
      <c r="A5318" s="29"/>
      <c r="B5318" s="30"/>
    </row>
    <row r="5319" spans="1:13">
      <c r="A5319" s="29"/>
      <c r="B5319" s="30"/>
    </row>
    <row r="5320" spans="1:13">
      <c r="A5320" s="29"/>
      <c r="B5320" s="30"/>
    </row>
    <row r="5321" spans="1:13">
      <c r="A5321" s="29"/>
      <c r="B5321" s="30"/>
    </row>
    <row r="5322" spans="1:13">
      <c r="A5322" s="29"/>
      <c r="B5322" s="30"/>
    </row>
    <row r="5323" spans="1:13">
      <c r="A5323" s="29"/>
      <c r="B5323" s="30"/>
    </row>
    <row r="5324" spans="1:13">
      <c r="A5324" s="29"/>
      <c r="B5324" s="30"/>
    </row>
    <row r="5325" spans="1:13">
      <c r="A5325" s="29"/>
      <c r="B5325" s="30"/>
    </row>
    <row r="5326" spans="1:13">
      <c r="A5326" s="29"/>
      <c r="B5326" s="30"/>
    </row>
    <row r="5327" spans="1:13">
      <c r="A5327" s="29"/>
      <c r="B5327" s="30"/>
    </row>
    <row r="5328" spans="1:13">
      <c r="A5328" s="29"/>
      <c r="B5328" s="30"/>
    </row>
    <row r="5329" spans="1:2">
      <c r="A5329" s="29"/>
      <c r="B5329" s="30"/>
    </row>
    <row r="5330" spans="1:2">
      <c r="A5330" s="29"/>
      <c r="B5330" s="30"/>
    </row>
    <row r="5331" spans="1:2">
      <c r="A5331" s="29"/>
      <c r="B5331" s="30"/>
    </row>
    <row r="5332" spans="1:2">
      <c r="A5332" s="29"/>
      <c r="B5332" s="30"/>
    </row>
    <row r="5333" spans="1:2">
      <c r="A5333" s="29"/>
      <c r="B5333" s="30"/>
    </row>
    <row r="5334" spans="1:2">
      <c r="A5334" s="29"/>
      <c r="B5334" s="30"/>
    </row>
    <row r="5335" spans="1:2">
      <c r="A5335" s="29"/>
      <c r="B5335" s="30"/>
    </row>
    <row r="5336" spans="1:2">
      <c r="A5336" s="29"/>
      <c r="B5336" s="30"/>
    </row>
    <row r="5337" spans="1:2">
      <c r="A5337" s="29"/>
      <c r="B5337" s="30"/>
    </row>
    <row r="5338" spans="1:2">
      <c r="A5338" s="29"/>
      <c r="B5338" s="30"/>
    </row>
    <row r="5339" spans="1:2">
      <c r="A5339" s="29"/>
      <c r="B5339" s="30"/>
    </row>
    <row r="5340" spans="1:2">
      <c r="A5340" s="29"/>
      <c r="B5340" s="30"/>
    </row>
    <row r="5341" spans="1:2">
      <c r="A5341" s="29"/>
      <c r="B5341" s="30"/>
    </row>
    <row r="5342" spans="1:2">
      <c r="A5342" s="29"/>
      <c r="B5342" s="30"/>
    </row>
    <row r="5343" spans="1:2">
      <c r="A5343" s="29"/>
      <c r="B5343" s="30"/>
    </row>
    <row r="5344" spans="1:2">
      <c r="A5344" s="29"/>
      <c r="B5344" s="30"/>
    </row>
    <row r="5345" spans="1:13">
      <c r="A5345" s="29"/>
      <c r="B5345" s="30"/>
    </row>
    <row r="5346" spans="1:13">
      <c r="A5346" s="29"/>
      <c r="B5346" s="30"/>
    </row>
    <row r="5347" spans="1:13">
      <c r="A5347" s="29"/>
      <c r="B5347" s="30"/>
    </row>
    <row r="5348" spans="1:13">
      <c r="A5348" s="29"/>
      <c r="B5348" s="30"/>
    </row>
    <row r="5349" spans="1:13">
      <c r="A5349" s="29"/>
      <c r="B5349" s="30"/>
    </row>
    <row r="5350" spans="1:13">
      <c r="A5350" s="29"/>
      <c r="B5350" s="30"/>
    </row>
    <row r="5351" spans="1:13">
      <c r="A5351" s="29"/>
      <c r="B5351" s="30"/>
    </row>
    <row r="5352" spans="1:13">
      <c r="A5352" s="29"/>
      <c r="B5352" s="30"/>
    </row>
    <row r="5353" spans="1:13">
      <c r="A5353" s="29"/>
      <c r="B5353" s="30"/>
    </row>
    <row r="5354" spans="1:13">
      <c r="A5354" s="29"/>
      <c r="B5354" s="30"/>
    </row>
    <row r="5355" spans="1:13">
      <c r="A5355" s="29"/>
      <c r="B5355" s="30"/>
    </row>
    <row r="5356" spans="1:13">
      <c r="A5356" s="29"/>
      <c r="B5356" s="30"/>
    </row>
    <row r="5357" spans="1:13">
      <c r="A5357" s="29"/>
      <c r="B5357" s="30"/>
      <c r="M5357" s="30"/>
    </row>
    <row r="5358" spans="1:13">
      <c r="A5358" s="29"/>
      <c r="B5358" s="30"/>
    </row>
    <row r="5359" spans="1:13">
      <c r="A5359" s="29"/>
      <c r="B5359" s="30"/>
    </row>
    <row r="5360" spans="1:13">
      <c r="A5360" s="29"/>
      <c r="B5360" s="30"/>
    </row>
    <row r="5361" spans="1:2">
      <c r="A5361" s="29"/>
      <c r="B5361" s="30"/>
    </row>
    <row r="5362" spans="1:2">
      <c r="A5362" s="29"/>
      <c r="B5362" s="30"/>
    </row>
    <row r="5363" spans="1:2">
      <c r="A5363" s="29"/>
      <c r="B5363" s="30"/>
    </row>
    <row r="5364" spans="1:2">
      <c r="A5364" s="29"/>
      <c r="B5364" s="30"/>
    </row>
    <row r="5365" spans="1:2">
      <c r="A5365" s="29"/>
      <c r="B5365" s="30"/>
    </row>
    <row r="5366" spans="1:2">
      <c r="A5366" s="29"/>
      <c r="B5366" s="30"/>
    </row>
    <row r="5367" spans="1:2">
      <c r="A5367" s="29"/>
      <c r="B5367" s="30"/>
    </row>
    <row r="5368" spans="1:2">
      <c r="A5368" s="29"/>
      <c r="B5368" s="30"/>
    </row>
    <row r="5369" spans="1:2">
      <c r="A5369" s="29"/>
      <c r="B5369" s="30"/>
    </row>
    <row r="5370" spans="1:2">
      <c r="A5370" s="29"/>
      <c r="B5370" s="30"/>
    </row>
    <row r="5371" spans="1:2">
      <c r="A5371" s="29"/>
      <c r="B5371" s="30"/>
    </row>
    <row r="5372" spans="1:2">
      <c r="A5372" s="29"/>
      <c r="B5372" s="30"/>
    </row>
    <row r="5373" spans="1:2">
      <c r="A5373" s="29"/>
      <c r="B5373" s="30"/>
    </row>
    <row r="5374" spans="1:2">
      <c r="A5374" s="29"/>
      <c r="B5374" s="30"/>
    </row>
    <row r="5375" spans="1:2">
      <c r="A5375" s="29"/>
      <c r="B5375" s="30"/>
    </row>
    <row r="5376" spans="1:2">
      <c r="A5376" s="29"/>
      <c r="B5376" s="30"/>
    </row>
    <row r="5377" spans="1:2">
      <c r="A5377" s="29"/>
      <c r="B5377" s="30"/>
    </row>
    <row r="5378" spans="1:2">
      <c r="A5378" s="29"/>
      <c r="B5378" s="30"/>
    </row>
    <row r="5379" spans="1:2">
      <c r="A5379" s="29"/>
      <c r="B5379" s="30"/>
    </row>
    <row r="5380" spans="1:2">
      <c r="A5380" s="29"/>
      <c r="B5380" s="30"/>
    </row>
    <row r="5381" spans="1:2">
      <c r="A5381" s="29"/>
      <c r="B5381" s="30"/>
    </row>
    <row r="5382" spans="1:2">
      <c r="A5382" s="29"/>
      <c r="B5382" s="30"/>
    </row>
    <row r="5383" spans="1:2">
      <c r="A5383" s="29"/>
      <c r="B5383" s="30"/>
    </row>
    <row r="5384" spans="1:2">
      <c r="A5384" s="29"/>
      <c r="B5384" s="30"/>
    </row>
    <row r="5385" spans="1:2">
      <c r="A5385" s="29"/>
      <c r="B5385" s="30"/>
    </row>
    <row r="5386" spans="1:2">
      <c r="A5386" s="29"/>
      <c r="B5386" s="30"/>
    </row>
    <row r="5387" spans="1:2">
      <c r="A5387" s="29"/>
      <c r="B5387" s="30"/>
    </row>
    <row r="5388" spans="1:2">
      <c r="A5388" s="29"/>
      <c r="B5388" s="30"/>
    </row>
    <row r="5389" spans="1:2">
      <c r="A5389" s="29"/>
      <c r="B5389" s="30"/>
    </row>
    <row r="5390" spans="1:2">
      <c r="A5390" s="29"/>
      <c r="B5390" s="30"/>
    </row>
    <row r="5391" spans="1:2">
      <c r="A5391" s="29"/>
      <c r="B5391" s="30"/>
    </row>
    <row r="5392" spans="1:2">
      <c r="A5392" s="29"/>
      <c r="B5392" s="30"/>
    </row>
    <row r="5393" spans="1:13">
      <c r="A5393" s="29"/>
      <c r="B5393" s="30"/>
      <c r="M5393" s="30"/>
    </row>
    <row r="5394" spans="1:13">
      <c r="A5394" s="29"/>
      <c r="B5394" s="30"/>
    </row>
    <row r="5395" spans="1:13">
      <c r="A5395" s="29"/>
      <c r="B5395" s="30"/>
    </row>
    <row r="5396" spans="1:13">
      <c r="A5396" s="29"/>
      <c r="B5396" s="30"/>
    </row>
    <row r="5397" spans="1:13">
      <c r="A5397" s="29"/>
      <c r="B5397" s="30"/>
    </row>
    <row r="5398" spans="1:13">
      <c r="A5398" s="29"/>
      <c r="B5398" s="30"/>
    </row>
    <row r="5399" spans="1:13">
      <c r="A5399" s="29"/>
      <c r="B5399" s="30"/>
    </row>
    <row r="5400" spans="1:13">
      <c r="A5400" s="29"/>
      <c r="B5400" s="30"/>
    </row>
    <row r="5401" spans="1:13">
      <c r="A5401" s="29"/>
      <c r="B5401" s="30"/>
    </row>
    <row r="5402" spans="1:13">
      <c r="A5402" s="29"/>
      <c r="B5402" s="30"/>
    </row>
    <row r="5403" spans="1:13">
      <c r="A5403" s="29"/>
      <c r="B5403" s="30"/>
    </row>
    <row r="5404" spans="1:13">
      <c r="A5404" s="29"/>
      <c r="B5404" s="30"/>
    </row>
    <row r="5405" spans="1:13">
      <c r="A5405" s="29"/>
      <c r="B5405" s="30"/>
    </row>
    <row r="5406" spans="1:13">
      <c r="A5406" s="29"/>
      <c r="B5406" s="30"/>
    </row>
    <row r="5407" spans="1:13">
      <c r="A5407" s="29"/>
      <c r="B5407" s="30"/>
    </row>
    <row r="5408" spans="1:13">
      <c r="A5408" s="29"/>
      <c r="B5408" s="30"/>
    </row>
    <row r="5409" spans="1:2">
      <c r="A5409" s="29"/>
      <c r="B5409" s="30"/>
    </row>
    <row r="5410" spans="1:2">
      <c r="A5410" s="29"/>
      <c r="B5410" s="30"/>
    </row>
    <row r="5411" spans="1:2">
      <c r="A5411" s="29"/>
      <c r="B5411" s="30"/>
    </row>
    <row r="5412" spans="1:2">
      <c r="A5412" s="29"/>
      <c r="B5412" s="30"/>
    </row>
    <row r="5413" spans="1:2">
      <c r="A5413" s="29"/>
      <c r="B5413" s="30"/>
    </row>
    <row r="5414" spans="1:2">
      <c r="A5414" s="29"/>
      <c r="B5414" s="30"/>
    </row>
    <row r="5415" spans="1:2">
      <c r="A5415" s="29"/>
      <c r="B5415" s="30"/>
    </row>
    <row r="5416" spans="1:2">
      <c r="A5416" s="29"/>
      <c r="B5416" s="30"/>
    </row>
    <row r="5417" spans="1:2">
      <c r="A5417" s="29"/>
      <c r="B5417" s="30"/>
    </row>
    <row r="5418" spans="1:2">
      <c r="A5418" s="29"/>
      <c r="B5418" s="30"/>
    </row>
    <row r="5419" spans="1:2">
      <c r="A5419" s="29"/>
      <c r="B5419" s="30"/>
    </row>
    <row r="5420" spans="1:2">
      <c r="A5420" s="29"/>
      <c r="B5420" s="30"/>
    </row>
    <row r="5421" spans="1:2">
      <c r="A5421" s="29"/>
      <c r="B5421" s="30"/>
    </row>
    <row r="5422" spans="1:2">
      <c r="A5422" s="29"/>
      <c r="B5422" s="30"/>
    </row>
    <row r="5423" spans="1:2">
      <c r="A5423" s="29"/>
      <c r="B5423" s="30"/>
    </row>
    <row r="5424" spans="1:2">
      <c r="A5424" s="29"/>
      <c r="B5424" s="30"/>
    </row>
    <row r="5425" spans="1:2">
      <c r="A5425" s="29"/>
      <c r="B5425" s="30"/>
    </row>
    <row r="5426" spans="1:2">
      <c r="A5426" s="29"/>
      <c r="B5426" s="30"/>
    </row>
    <row r="5427" spans="1:2">
      <c r="A5427" s="29"/>
      <c r="B5427" s="30"/>
    </row>
    <row r="5428" spans="1:2">
      <c r="A5428" s="29"/>
      <c r="B5428" s="30"/>
    </row>
    <row r="5429" spans="1:2">
      <c r="A5429" s="29"/>
      <c r="B5429" s="30"/>
    </row>
    <row r="5430" spans="1:2">
      <c r="A5430" s="29"/>
      <c r="B5430" s="30"/>
    </row>
    <row r="5431" spans="1:2">
      <c r="A5431" s="29"/>
      <c r="B5431" s="30"/>
    </row>
    <row r="5432" spans="1:2">
      <c r="A5432" s="29"/>
      <c r="B5432" s="30"/>
    </row>
    <row r="5433" spans="1:2">
      <c r="A5433" s="29"/>
      <c r="B5433" s="30"/>
    </row>
    <row r="5434" spans="1:2">
      <c r="A5434" s="29"/>
      <c r="B5434" s="30"/>
    </row>
    <row r="5435" spans="1:2">
      <c r="A5435" s="29"/>
      <c r="B5435" s="30"/>
    </row>
    <row r="5436" spans="1:2">
      <c r="A5436" s="29"/>
      <c r="B5436" s="30"/>
    </row>
    <row r="5437" spans="1:2">
      <c r="A5437" s="29"/>
      <c r="B5437" s="30"/>
    </row>
    <row r="5438" spans="1:2">
      <c r="A5438" s="29"/>
      <c r="B5438" s="30"/>
    </row>
    <row r="5439" spans="1:2">
      <c r="A5439" s="29"/>
      <c r="B5439" s="30"/>
    </row>
    <row r="5440" spans="1:2">
      <c r="A5440" s="29"/>
      <c r="B5440" s="30"/>
    </row>
    <row r="5441" spans="1:13">
      <c r="A5441" s="29"/>
      <c r="B5441" s="30"/>
    </row>
    <row r="5442" spans="1:13">
      <c r="A5442" s="29"/>
      <c r="B5442" s="30"/>
    </row>
    <row r="5443" spans="1:13">
      <c r="A5443" s="29"/>
      <c r="B5443" s="30"/>
    </row>
    <row r="5444" spans="1:13">
      <c r="A5444" s="29"/>
      <c r="B5444" s="30"/>
    </row>
    <row r="5445" spans="1:13">
      <c r="A5445" s="29"/>
      <c r="B5445" s="30"/>
    </row>
    <row r="5446" spans="1:13">
      <c r="A5446" s="29"/>
      <c r="B5446" s="30"/>
    </row>
    <row r="5447" spans="1:13">
      <c r="A5447" s="29"/>
      <c r="B5447" s="30"/>
    </row>
    <row r="5448" spans="1:13">
      <c r="A5448" s="29"/>
      <c r="B5448" s="30"/>
    </row>
    <row r="5449" spans="1:13">
      <c r="A5449" s="29"/>
      <c r="B5449" s="30"/>
    </row>
    <row r="5450" spans="1:13">
      <c r="A5450" s="29"/>
      <c r="B5450" s="30"/>
    </row>
    <row r="5451" spans="1:13">
      <c r="A5451" s="29"/>
      <c r="B5451" s="30"/>
    </row>
    <row r="5452" spans="1:13">
      <c r="A5452" s="29"/>
      <c r="B5452" s="30"/>
    </row>
    <row r="5453" spans="1:13">
      <c r="A5453" s="29"/>
      <c r="B5453" s="30"/>
      <c r="M5453" s="30"/>
    </row>
    <row r="5454" spans="1:13">
      <c r="A5454" s="29"/>
      <c r="B5454" s="30"/>
    </row>
    <row r="5455" spans="1:13">
      <c r="A5455" s="29"/>
      <c r="B5455" s="30"/>
    </row>
    <row r="5456" spans="1:13">
      <c r="A5456" s="29"/>
      <c r="B5456" s="30"/>
    </row>
    <row r="5457" spans="1:2">
      <c r="A5457" s="29"/>
      <c r="B5457" s="30"/>
    </row>
    <row r="5458" spans="1:2">
      <c r="A5458" s="29"/>
      <c r="B5458" s="30"/>
    </row>
    <row r="5459" spans="1:2">
      <c r="A5459" s="29"/>
      <c r="B5459" s="30"/>
    </row>
    <row r="5460" spans="1:2">
      <c r="A5460" s="29"/>
      <c r="B5460" s="30"/>
    </row>
    <row r="5461" spans="1:2">
      <c r="A5461" s="29"/>
      <c r="B5461" s="30"/>
    </row>
    <row r="5462" spans="1:2">
      <c r="A5462" s="29"/>
      <c r="B5462" s="30"/>
    </row>
    <row r="5463" spans="1:2">
      <c r="A5463" s="29"/>
      <c r="B5463" s="30"/>
    </row>
    <row r="5464" spans="1:2">
      <c r="A5464" s="29"/>
      <c r="B5464" s="30"/>
    </row>
    <row r="5465" spans="1:2">
      <c r="A5465" s="29"/>
      <c r="B5465" s="30"/>
    </row>
    <row r="5466" spans="1:2">
      <c r="A5466" s="29"/>
      <c r="B5466" s="30"/>
    </row>
    <row r="5467" spans="1:2">
      <c r="A5467" s="29"/>
      <c r="B5467" s="30"/>
    </row>
    <row r="5468" spans="1:2">
      <c r="A5468" s="29"/>
      <c r="B5468" s="30"/>
    </row>
    <row r="5469" spans="1:2">
      <c r="A5469" s="29"/>
      <c r="B5469" s="30"/>
    </row>
    <row r="5470" spans="1:2">
      <c r="A5470" s="29"/>
      <c r="B5470" s="30"/>
    </row>
    <row r="5471" spans="1:2">
      <c r="A5471" s="29"/>
      <c r="B5471" s="30"/>
    </row>
    <row r="5472" spans="1:2">
      <c r="A5472" s="29"/>
      <c r="B5472" s="30"/>
    </row>
    <row r="5473" spans="1:2">
      <c r="A5473" s="29"/>
      <c r="B5473" s="30"/>
    </row>
    <row r="5474" spans="1:2">
      <c r="A5474" s="29"/>
      <c r="B5474" s="30"/>
    </row>
    <row r="5475" spans="1:2">
      <c r="A5475" s="29"/>
      <c r="B5475" s="30"/>
    </row>
    <row r="5476" spans="1:2">
      <c r="A5476" s="29"/>
      <c r="B5476" s="30"/>
    </row>
    <row r="5477" spans="1:2">
      <c r="A5477" s="29"/>
      <c r="B5477" s="30"/>
    </row>
    <row r="5478" spans="1:2">
      <c r="A5478" s="29"/>
      <c r="B5478" s="30"/>
    </row>
    <row r="5479" spans="1:2">
      <c r="A5479" s="29"/>
      <c r="B5479" s="30"/>
    </row>
    <row r="5480" spans="1:2">
      <c r="A5480" s="29"/>
      <c r="B5480" s="30"/>
    </row>
    <row r="5481" spans="1:2">
      <c r="A5481" s="29"/>
      <c r="B5481" s="30"/>
    </row>
    <row r="5482" spans="1:2">
      <c r="A5482" s="29"/>
      <c r="B5482" s="30"/>
    </row>
    <row r="5483" spans="1:2">
      <c r="A5483" s="29"/>
      <c r="B5483" s="30"/>
    </row>
    <row r="5484" spans="1:2">
      <c r="A5484" s="29"/>
      <c r="B5484" s="30"/>
    </row>
    <row r="5485" spans="1:2">
      <c r="A5485" s="29"/>
      <c r="B5485" s="30"/>
    </row>
    <row r="5486" spans="1:2">
      <c r="A5486" s="29"/>
      <c r="B5486" s="30"/>
    </row>
    <row r="5487" spans="1:2">
      <c r="A5487" s="29"/>
      <c r="B5487" s="30"/>
    </row>
    <row r="5488" spans="1:2">
      <c r="A5488" s="29"/>
      <c r="B5488" s="30"/>
    </row>
    <row r="5489" spans="1:2">
      <c r="A5489" s="29"/>
      <c r="B5489" s="30"/>
    </row>
    <row r="5490" spans="1:2">
      <c r="A5490" s="29"/>
      <c r="B5490" s="30"/>
    </row>
    <row r="5491" spans="1:2">
      <c r="A5491" s="29"/>
      <c r="B5491" s="30"/>
    </row>
    <row r="5492" spans="1:2">
      <c r="A5492" s="29"/>
      <c r="B5492" s="30"/>
    </row>
    <row r="5493" spans="1:2">
      <c r="A5493" s="29"/>
      <c r="B5493" s="30"/>
    </row>
    <row r="5494" spans="1:2">
      <c r="A5494" s="29"/>
      <c r="B5494" s="30"/>
    </row>
    <row r="5495" spans="1:2">
      <c r="A5495" s="29"/>
      <c r="B5495" s="30"/>
    </row>
    <row r="5496" spans="1:2">
      <c r="A5496" s="29"/>
      <c r="B5496" s="30"/>
    </row>
    <row r="5497" spans="1:2">
      <c r="A5497" s="29"/>
      <c r="B5497" s="30"/>
    </row>
    <row r="5498" spans="1:2">
      <c r="A5498" s="29"/>
      <c r="B5498" s="30"/>
    </row>
    <row r="5499" spans="1:2">
      <c r="A5499" s="29"/>
      <c r="B5499" s="30"/>
    </row>
    <row r="5500" spans="1:2">
      <c r="A5500" s="29"/>
      <c r="B5500" s="30"/>
    </row>
    <row r="5501" spans="1:2">
      <c r="A5501" s="29"/>
      <c r="B5501" s="30"/>
    </row>
    <row r="5502" spans="1:2">
      <c r="A5502" s="29"/>
      <c r="B5502" s="30"/>
    </row>
    <row r="5503" spans="1:2">
      <c r="A5503" s="29"/>
      <c r="B5503" s="30"/>
    </row>
    <row r="5504" spans="1:2">
      <c r="A5504" s="29"/>
      <c r="B5504" s="30"/>
    </row>
    <row r="5505" spans="1:2">
      <c r="A5505" s="29"/>
      <c r="B5505" s="30"/>
    </row>
    <row r="5506" spans="1:2">
      <c r="A5506" s="29"/>
      <c r="B5506" s="30"/>
    </row>
    <row r="5507" spans="1:2">
      <c r="A5507" s="29"/>
      <c r="B5507" s="30"/>
    </row>
    <row r="5508" spans="1:2">
      <c r="A5508" s="29"/>
      <c r="B5508" s="30"/>
    </row>
    <row r="5509" spans="1:2">
      <c r="A5509" s="29"/>
      <c r="B5509" s="30"/>
    </row>
    <row r="5510" spans="1:2">
      <c r="A5510" s="29"/>
      <c r="B5510" s="30"/>
    </row>
    <row r="5511" spans="1:2">
      <c r="A5511" s="29"/>
      <c r="B5511" s="30"/>
    </row>
    <row r="5512" spans="1:2">
      <c r="A5512" s="29"/>
      <c r="B5512" s="30"/>
    </row>
    <row r="5513" spans="1:2">
      <c r="A5513" s="29"/>
      <c r="B5513" s="30"/>
    </row>
    <row r="5514" spans="1:2">
      <c r="A5514" s="29"/>
      <c r="B5514" s="30"/>
    </row>
    <row r="5515" spans="1:2">
      <c r="A5515" s="29"/>
      <c r="B5515" s="30"/>
    </row>
    <row r="5516" spans="1:2">
      <c r="A5516" s="29"/>
      <c r="B5516" s="30"/>
    </row>
    <row r="5517" spans="1:2">
      <c r="A5517" s="29"/>
      <c r="B5517" s="30"/>
    </row>
    <row r="5518" spans="1:2">
      <c r="A5518" s="29"/>
      <c r="B5518" s="30"/>
    </row>
    <row r="5519" spans="1:2">
      <c r="A5519" s="29"/>
      <c r="B5519" s="30"/>
    </row>
    <row r="5520" spans="1:2">
      <c r="A5520" s="29"/>
      <c r="B5520" s="30"/>
    </row>
    <row r="5521" spans="1:2">
      <c r="A5521" s="29"/>
      <c r="B5521" s="30"/>
    </row>
    <row r="5522" spans="1:2">
      <c r="A5522" s="29"/>
      <c r="B5522" s="30"/>
    </row>
    <row r="5523" spans="1:2">
      <c r="A5523" s="29"/>
      <c r="B5523" s="30"/>
    </row>
    <row r="5524" spans="1:2">
      <c r="A5524" s="29"/>
      <c r="B5524" s="30"/>
    </row>
    <row r="5525" spans="1:2">
      <c r="A5525" s="29"/>
      <c r="B5525" s="30"/>
    </row>
    <row r="5526" spans="1:2">
      <c r="A5526" s="29"/>
      <c r="B5526" s="30"/>
    </row>
    <row r="5527" spans="1:2">
      <c r="A5527" s="29"/>
      <c r="B5527" s="30"/>
    </row>
    <row r="5528" spans="1:2">
      <c r="A5528" s="29"/>
      <c r="B5528" s="30"/>
    </row>
    <row r="5529" spans="1:2">
      <c r="A5529" s="29"/>
      <c r="B5529" s="30"/>
    </row>
    <row r="5530" spans="1:2">
      <c r="A5530" s="29"/>
      <c r="B5530" s="30"/>
    </row>
    <row r="5531" spans="1:2">
      <c r="A5531" s="29"/>
      <c r="B5531" s="30"/>
    </row>
    <row r="5532" spans="1:2">
      <c r="A5532" s="29"/>
      <c r="B5532" s="30"/>
    </row>
    <row r="5533" spans="1:2">
      <c r="A5533" s="29"/>
      <c r="B5533" s="30"/>
    </row>
    <row r="5534" spans="1:2">
      <c r="A5534" s="29"/>
      <c r="B5534" s="30"/>
    </row>
    <row r="5535" spans="1:2">
      <c r="A5535" s="29"/>
      <c r="B5535" s="30"/>
    </row>
    <row r="5536" spans="1:2">
      <c r="A5536" s="29"/>
      <c r="B5536" s="30"/>
    </row>
    <row r="5537" spans="1:2">
      <c r="A5537" s="29"/>
      <c r="B5537" s="30"/>
    </row>
    <row r="5538" spans="1:2">
      <c r="A5538" s="29"/>
      <c r="B5538" s="30"/>
    </row>
    <row r="5539" spans="1:2">
      <c r="A5539" s="29"/>
      <c r="B5539" s="30"/>
    </row>
    <row r="5540" spans="1:2">
      <c r="A5540" s="29"/>
      <c r="B5540" s="30"/>
    </row>
    <row r="5541" spans="1:2">
      <c r="A5541" s="29"/>
      <c r="B5541" s="30"/>
    </row>
    <row r="5542" spans="1:2">
      <c r="A5542" s="29"/>
      <c r="B5542" s="30"/>
    </row>
    <row r="5543" spans="1:2">
      <c r="A5543" s="29"/>
      <c r="B5543" s="30"/>
    </row>
    <row r="5544" spans="1:2">
      <c r="A5544" s="29"/>
      <c r="B5544" s="30"/>
    </row>
    <row r="5545" spans="1:2">
      <c r="A5545" s="29"/>
      <c r="B5545" s="30"/>
    </row>
    <row r="5546" spans="1:2">
      <c r="A5546" s="29"/>
      <c r="B5546" s="30"/>
    </row>
    <row r="5547" spans="1:2">
      <c r="A5547" s="29"/>
      <c r="B5547" s="30"/>
    </row>
    <row r="5548" spans="1:2">
      <c r="A5548" s="29"/>
      <c r="B5548" s="30"/>
    </row>
    <row r="5549" spans="1:2">
      <c r="A5549" s="29"/>
      <c r="B5549" s="30"/>
    </row>
    <row r="5550" spans="1:2">
      <c r="A5550" s="29"/>
      <c r="B5550" s="30"/>
    </row>
    <row r="5551" spans="1:2">
      <c r="A5551" s="29"/>
      <c r="B5551" s="30"/>
    </row>
    <row r="5552" spans="1:2">
      <c r="A5552" s="29"/>
      <c r="B5552" s="30"/>
    </row>
    <row r="5553" spans="1:2">
      <c r="A5553" s="29"/>
      <c r="B5553" s="30"/>
    </row>
    <row r="5554" spans="1:2">
      <c r="A5554" s="29"/>
      <c r="B5554" s="30"/>
    </row>
    <row r="5555" spans="1:2">
      <c r="A5555" s="29"/>
      <c r="B5555" s="30"/>
    </row>
    <row r="5556" spans="1:2">
      <c r="A5556" s="29"/>
      <c r="B5556" s="30"/>
    </row>
    <row r="5557" spans="1:2">
      <c r="A5557" s="29"/>
      <c r="B5557" s="30"/>
    </row>
    <row r="5558" spans="1:2">
      <c r="A5558" s="29"/>
      <c r="B5558" s="30"/>
    </row>
    <row r="5559" spans="1:2">
      <c r="A5559" s="29"/>
      <c r="B5559" s="30"/>
    </row>
    <row r="5560" spans="1:2">
      <c r="A5560" s="29"/>
      <c r="B5560" s="30"/>
    </row>
    <row r="5561" spans="1:2">
      <c r="A5561" s="29"/>
      <c r="B5561" s="30"/>
    </row>
    <row r="5562" spans="1:2">
      <c r="A5562" s="29"/>
      <c r="B5562" s="30"/>
    </row>
    <row r="5563" spans="1:2">
      <c r="A5563" s="29"/>
      <c r="B5563" s="30"/>
    </row>
    <row r="5564" spans="1:2">
      <c r="A5564" s="29"/>
      <c r="B5564" s="30"/>
    </row>
    <row r="5565" spans="1:2">
      <c r="A5565" s="29"/>
      <c r="B5565" s="30"/>
    </row>
    <row r="5566" spans="1:2">
      <c r="A5566" s="29"/>
      <c r="B5566" s="30"/>
    </row>
    <row r="5567" spans="1:2">
      <c r="A5567" s="29"/>
      <c r="B5567" s="30"/>
    </row>
    <row r="5568" spans="1:2">
      <c r="A5568" s="29"/>
      <c r="B5568" s="30"/>
    </row>
    <row r="5569" spans="1:2">
      <c r="A5569" s="29"/>
      <c r="B5569" s="30"/>
    </row>
    <row r="5570" spans="1:2">
      <c r="A5570" s="29"/>
      <c r="B5570" s="30"/>
    </row>
    <row r="5571" spans="1:2">
      <c r="A5571" s="29"/>
      <c r="B5571" s="30"/>
    </row>
    <row r="5572" spans="1:2">
      <c r="A5572" s="29"/>
      <c r="B5572" s="30"/>
    </row>
    <row r="5573" spans="1:2">
      <c r="A5573" s="29"/>
      <c r="B5573" s="30"/>
    </row>
    <row r="5574" spans="1:2">
      <c r="A5574" s="29"/>
      <c r="B5574" s="30"/>
    </row>
    <row r="5575" spans="1:2">
      <c r="A5575" s="29"/>
      <c r="B5575" s="30"/>
    </row>
    <row r="5576" spans="1:2">
      <c r="A5576" s="29"/>
      <c r="B5576" s="30"/>
    </row>
    <row r="5577" spans="1:2">
      <c r="A5577" s="29"/>
      <c r="B5577" s="30"/>
    </row>
    <row r="5578" spans="1:2">
      <c r="A5578" s="29"/>
      <c r="B5578" s="30"/>
    </row>
    <row r="5579" spans="1:2">
      <c r="A5579" s="29"/>
      <c r="B5579" s="30"/>
    </row>
    <row r="5580" spans="1:2">
      <c r="A5580" s="29"/>
      <c r="B5580" s="30"/>
    </row>
    <row r="5581" spans="1:2">
      <c r="A5581" s="29"/>
      <c r="B5581" s="30"/>
    </row>
    <row r="5582" spans="1:2">
      <c r="A5582" s="29"/>
      <c r="B5582" s="30"/>
    </row>
    <row r="5583" spans="1:2">
      <c r="A5583" s="29"/>
      <c r="B5583" s="30"/>
    </row>
    <row r="5584" spans="1:2">
      <c r="A5584" s="29"/>
      <c r="B5584" s="30"/>
    </row>
    <row r="5585" spans="1:2">
      <c r="A5585" s="29"/>
      <c r="B5585" s="30"/>
    </row>
    <row r="5586" spans="1:2">
      <c r="A5586" s="29"/>
      <c r="B5586" s="30"/>
    </row>
    <row r="5587" spans="1:2">
      <c r="A5587" s="29"/>
      <c r="B5587" s="30"/>
    </row>
    <row r="5588" spans="1:2">
      <c r="A5588" s="29"/>
      <c r="B5588" s="30"/>
    </row>
    <row r="5589" spans="1:2">
      <c r="A5589" s="29"/>
      <c r="B5589" s="30"/>
    </row>
    <row r="5590" spans="1:2">
      <c r="A5590" s="29"/>
      <c r="B5590" s="30"/>
    </row>
    <row r="5591" spans="1:2">
      <c r="A5591" s="29"/>
      <c r="B5591" s="30"/>
    </row>
    <row r="5592" spans="1:2">
      <c r="A5592" s="29"/>
      <c r="B5592" s="30"/>
    </row>
    <row r="5593" spans="1:2">
      <c r="A5593" s="29"/>
      <c r="B5593" s="30"/>
    </row>
    <row r="5594" spans="1:2">
      <c r="A5594" s="29"/>
      <c r="B5594" s="30"/>
    </row>
    <row r="5595" spans="1:2">
      <c r="A5595" s="29"/>
      <c r="B5595" s="30"/>
    </row>
    <row r="5596" spans="1:2">
      <c r="A5596" s="29"/>
      <c r="B5596" s="30"/>
    </row>
    <row r="5597" spans="1:2">
      <c r="A5597" s="29"/>
      <c r="B5597" s="30"/>
    </row>
    <row r="5598" spans="1:2">
      <c r="A5598" s="29"/>
      <c r="B5598" s="30"/>
    </row>
    <row r="5599" spans="1:2">
      <c r="A5599" s="29"/>
      <c r="B5599" s="30"/>
    </row>
    <row r="5600" spans="1:2">
      <c r="A5600" s="29"/>
      <c r="B5600" s="30"/>
    </row>
    <row r="5601" spans="1:2">
      <c r="A5601" s="29"/>
      <c r="B5601" s="30"/>
    </row>
    <row r="5602" spans="1:2">
      <c r="A5602" s="29"/>
      <c r="B5602" s="30"/>
    </row>
    <row r="5603" spans="1:2">
      <c r="A5603" s="29"/>
      <c r="B5603" s="30"/>
    </row>
    <row r="5604" spans="1:2">
      <c r="A5604" s="29"/>
      <c r="B5604" s="30"/>
    </row>
    <row r="5605" spans="1:2">
      <c r="A5605" s="29"/>
      <c r="B5605" s="30"/>
    </row>
    <row r="5606" spans="1:2">
      <c r="A5606" s="29"/>
      <c r="B5606" s="30"/>
    </row>
    <row r="5607" spans="1:2">
      <c r="A5607" s="29"/>
      <c r="B5607" s="30"/>
    </row>
    <row r="5608" spans="1:2">
      <c r="A5608" s="29"/>
      <c r="B5608" s="30"/>
    </row>
    <row r="5609" spans="1:2">
      <c r="A5609" s="29"/>
      <c r="B5609" s="30"/>
    </row>
    <row r="5610" spans="1:2">
      <c r="A5610" s="29"/>
      <c r="B5610" s="30"/>
    </row>
    <row r="5611" spans="1:2">
      <c r="A5611" s="29"/>
      <c r="B5611" s="30"/>
    </row>
    <row r="5612" spans="1:2">
      <c r="A5612" s="29"/>
      <c r="B5612" s="30"/>
    </row>
    <row r="5613" spans="1:2">
      <c r="A5613" s="29"/>
      <c r="B5613" s="30"/>
    </row>
    <row r="5614" spans="1:2">
      <c r="A5614" s="29"/>
      <c r="B5614" s="30"/>
    </row>
    <row r="5615" spans="1:2">
      <c r="A5615" s="29"/>
      <c r="B5615" s="30"/>
    </row>
    <row r="5616" spans="1:2">
      <c r="A5616" s="29"/>
      <c r="B5616" s="30"/>
    </row>
    <row r="5617" spans="1:2">
      <c r="A5617" s="29"/>
      <c r="B5617" s="30"/>
    </row>
    <row r="5618" spans="1:2">
      <c r="A5618" s="29"/>
      <c r="B5618" s="30"/>
    </row>
    <row r="5619" spans="1:2">
      <c r="A5619" s="29"/>
      <c r="B5619" s="30"/>
    </row>
    <row r="5620" spans="1:2">
      <c r="A5620" s="29"/>
      <c r="B5620" s="30"/>
    </row>
    <row r="5621" spans="1:2">
      <c r="A5621" s="29"/>
      <c r="B5621" s="30"/>
    </row>
    <row r="5622" spans="1:2">
      <c r="A5622" s="29"/>
      <c r="B5622" s="30"/>
    </row>
    <row r="5623" spans="1:2">
      <c r="A5623" s="29"/>
      <c r="B5623" s="30"/>
    </row>
    <row r="5624" spans="1:2">
      <c r="A5624" s="29"/>
      <c r="B5624" s="30"/>
    </row>
    <row r="5625" spans="1:2">
      <c r="A5625" s="29"/>
      <c r="B5625" s="30"/>
    </row>
    <row r="5626" spans="1:2">
      <c r="A5626" s="29"/>
      <c r="B5626" s="30"/>
    </row>
    <row r="5627" spans="1:2">
      <c r="A5627" s="29"/>
      <c r="B5627" s="30"/>
    </row>
    <row r="5628" spans="1:2">
      <c r="A5628" s="29"/>
      <c r="B5628" s="30"/>
    </row>
    <row r="5629" spans="1:2">
      <c r="A5629" s="29"/>
      <c r="B5629" s="30"/>
    </row>
    <row r="5630" spans="1:2">
      <c r="A5630" s="29"/>
      <c r="B5630" s="30"/>
    </row>
    <row r="5631" spans="1:2">
      <c r="A5631" s="29"/>
      <c r="B5631" s="30"/>
    </row>
    <row r="5632" spans="1:2">
      <c r="A5632" s="29"/>
      <c r="B5632" s="30"/>
    </row>
    <row r="5633" spans="1:2">
      <c r="A5633" s="29"/>
      <c r="B5633" s="30"/>
    </row>
    <row r="5634" spans="1:2">
      <c r="A5634" s="29"/>
      <c r="B5634" s="30"/>
    </row>
    <row r="5635" spans="1:2">
      <c r="A5635" s="29"/>
      <c r="B5635" s="30"/>
    </row>
    <row r="5636" spans="1:2">
      <c r="A5636" s="29"/>
      <c r="B5636" s="30"/>
    </row>
    <row r="5637" spans="1:2">
      <c r="A5637" s="29"/>
      <c r="B5637" s="30"/>
    </row>
    <row r="5638" spans="1:2">
      <c r="A5638" s="29"/>
      <c r="B5638" s="30"/>
    </row>
    <row r="5639" spans="1:2">
      <c r="A5639" s="29"/>
      <c r="B5639" s="30"/>
    </row>
    <row r="5640" spans="1:2">
      <c r="A5640" s="29"/>
      <c r="B5640" s="30"/>
    </row>
    <row r="5641" spans="1:2">
      <c r="A5641" s="29"/>
      <c r="B5641" s="30"/>
    </row>
    <row r="5642" spans="1:2">
      <c r="A5642" s="29"/>
      <c r="B5642" s="30"/>
    </row>
    <row r="5643" spans="1:2">
      <c r="A5643" s="29"/>
      <c r="B5643" s="30"/>
    </row>
    <row r="5644" spans="1:2">
      <c r="A5644" s="29"/>
      <c r="B5644" s="30"/>
    </row>
    <row r="5645" spans="1:2">
      <c r="A5645" s="29"/>
      <c r="B5645" s="30"/>
    </row>
    <row r="5646" spans="1:2">
      <c r="A5646" s="29"/>
      <c r="B5646" s="30"/>
    </row>
    <row r="5647" spans="1:2">
      <c r="A5647" s="29"/>
      <c r="B5647" s="30"/>
    </row>
    <row r="5648" spans="1:2">
      <c r="A5648" s="29"/>
      <c r="B5648" s="30"/>
    </row>
    <row r="5649" spans="1:13">
      <c r="A5649" s="29"/>
      <c r="B5649" s="30"/>
    </row>
    <row r="5650" spans="1:13">
      <c r="A5650" s="29"/>
      <c r="B5650" s="30"/>
      <c r="M5650" s="30"/>
    </row>
    <row r="5651" spans="1:13">
      <c r="A5651" s="29"/>
      <c r="B5651" s="30"/>
    </row>
    <row r="5652" spans="1:13">
      <c r="A5652" s="29"/>
      <c r="B5652" s="30"/>
    </row>
    <row r="5653" spans="1:13">
      <c r="A5653" s="29"/>
      <c r="B5653" s="30"/>
    </row>
    <row r="5654" spans="1:13">
      <c r="A5654" s="29"/>
      <c r="B5654" s="30"/>
    </row>
  </sheetData>
  <mergeCells count="1">
    <mergeCell ref="A1:P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9"/>
  </sheetPr>
  <dimension ref="A1:AN1040"/>
  <sheetViews>
    <sheetView zoomScale="78" zoomScaleNormal="78" workbookViewId="0">
      <pane ySplit="4" topLeftCell="A5" activePane="bottomLeft" state="frozen"/>
      <selection activeCell="C123" sqref="C123"/>
      <selection pane="bottomLeft" activeCell="A18" sqref="A18:AM18"/>
    </sheetView>
  </sheetViews>
  <sheetFormatPr defaultRowHeight="15"/>
  <cols>
    <col min="1" max="1" width="18.140625" bestFit="1" customWidth="1"/>
    <col min="2" max="2" width="16" bestFit="1" customWidth="1"/>
    <col min="3" max="3" width="17.42578125" customWidth="1"/>
    <col min="4" max="4" width="21.5703125" bestFit="1" customWidth="1"/>
    <col min="5" max="5" width="10.5703125" bestFit="1" customWidth="1"/>
    <col min="6" max="6" width="21" bestFit="1" customWidth="1"/>
    <col min="7" max="7" width="22.5703125" bestFit="1" customWidth="1"/>
    <col min="8" max="8" width="14.140625" customWidth="1"/>
    <col min="9" max="9" width="18.42578125" customWidth="1"/>
    <col min="10" max="10" width="17" customWidth="1"/>
    <col min="11" max="11" width="31.140625" customWidth="1"/>
    <col min="12" max="12" width="22.7109375" customWidth="1"/>
    <col min="13" max="13" width="25.7109375" customWidth="1"/>
    <col min="14" max="14" width="12.140625" customWidth="1"/>
    <col min="15" max="15" width="17" customWidth="1"/>
    <col min="16" max="16" width="17.5703125" customWidth="1"/>
    <col min="17" max="17" width="23.140625" bestFit="1" customWidth="1"/>
    <col min="18" max="18" width="13" bestFit="1" customWidth="1"/>
    <col min="19" max="36" width="17.7109375" bestFit="1" customWidth="1"/>
    <col min="37" max="37" width="25.28515625" bestFit="1" customWidth="1"/>
    <col min="38" max="38" width="17.42578125" bestFit="1" customWidth="1"/>
    <col min="39" max="39" width="23.140625" bestFit="1" customWidth="1"/>
    <col min="40" max="40" width="10" style="152" bestFit="1" customWidth="1"/>
  </cols>
  <sheetData>
    <row r="1" spans="1:40" ht="34.5" thickBot="1">
      <c r="A1" s="393" t="s">
        <v>118</v>
      </c>
      <c r="B1" s="393"/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3"/>
      <c r="O1" s="393"/>
      <c r="P1" s="393"/>
      <c r="Q1" s="393"/>
      <c r="R1" s="393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154" t="s">
        <v>646</v>
      </c>
    </row>
    <row r="2" spans="1:40" ht="29.25" customHeight="1">
      <c r="A2" s="5" t="s">
        <v>119</v>
      </c>
      <c r="B2" s="6" t="s">
        <v>120</v>
      </c>
      <c r="C2" s="7" t="s">
        <v>121</v>
      </c>
      <c r="D2" s="7" t="s">
        <v>122</v>
      </c>
      <c r="E2" s="7" t="s">
        <v>123</v>
      </c>
      <c r="F2" s="6" t="s">
        <v>124</v>
      </c>
      <c r="G2" s="8" t="s">
        <v>125</v>
      </c>
      <c r="H2" s="8" t="s">
        <v>126</v>
      </c>
      <c r="I2" s="8" t="s">
        <v>127</v>
      </c>
      <c r="J2" s="7" t="s">
        <v>128</v>
      </c>
      <c r="K2" s="7" t="s">
        <v>129</v>
      </c>
      <c r="L2" s="7" t="s">
        <v>130</v>
      </c>
      <c r="M2" s="7" t="s">
        <v>131</v>
      </c>
      <c r="N2" s="7" t="s">
        <v>132</v>
      </c>
      <c r="O2" s="8" t="s">
        <v>133</v>
      </c>
      <c r="P2" s="8" t="s">
        <v>134</v>
      </c>
      <c r="Q2" s="8" t="s">
        <v>135</v>
      </c>
      <c r="R2" s="8" t="s">
        <v>136</v>
      </c>
      <c r="S2" s="7" t="s">
        <v>137</v>
      </c>
      <c r="T2" s="7" t="s">
        <v>138</v>
      </c>
      <c r="U2" s="7" t="s">
        <v>139</v>
      </c>
      <c r="V2" s="7" t="s">
        <v>140</v>
      </c>
      <c r="W2" s="7" t="s">
        <v>141</v>
      </c>
      <c r="X2" s="9" t="s">
        <v>142</v>
      </c>
      <c r="Y2" s="7" t="s">
        <v>143</v>
      </c>
      <c r="Z2" s="10" t="s">
        <v>144</v>
      </c>
      <c r="AA2" s="11" t="s">
        <v>145</v>
      </c>
      <c r="AB2" s="10" t="s">
        <v>146</v>
      </c>
      <c r="AC2" s="10" t="s">
        <v>215</v>
      </c>
      <c r="AD2" s="10" t="s">
        <v>147</v>
      </c>
      <c r="AE2" s="10" t="s">
        <v>148</v>
      </c>
      <c r="AF2" s="10" t="s">
        <v>73</v>
      </c>
      <c r="AG2" s="11" t="s">
        <v>149</v>
      </c>
      <c r="AH2" s="11" t="s">
        <v>150</v>
      </c>
      <c r="AI2" s="11" t="s">
        <v>151</v>
      </c>
      <c r="AJ2" s="11" t="s">
        <v>152</v>
      </c>
      <c r="AK2" s="11" t="s">
        <v>56</v>
      </c>
      <c r="AL2" s="11" t="s">
        <v>153</v>
      </c>
      <c r="AM2" s="26" t="s">
        <v>7</v>
      </c>
      <c r="AN2" s="153" t="s">
        <v>421</v>
      </c>
    </row>
    <row r="3" spans="1:40" ht="15.75">
      <c r="A3" s="12" t="s">
        <v>154</v>
      </c>
      <c r="B3" s="13" t="s">
        <v>155</v>
      </c>
      <c r="C3" s="14" t="s">
        <v>156</v>
      </c>
      <c r="D3" s="14" t="s">
        <v>157</v>
      </c>
      <c r="E3" s="14" t="s">
        <v>158</v>
      </c>
      <c r="F3" s="13" t="s">
        <v>159</v>
      </c>
      <c r="G3" s="14" t="s">
        <v>160</v>
      </c>
      <c r="H3" s="14" t="s">
        <v>161</v>
      </c>
      <c r="I3" s="14" t="s">
        <v>162</v>
      </c>
      <c r="J3" s="14" t="s">
        <v>163</v>
      </c>
      <c r="K3" s="14" t="s">
        <v>164</v>
      </c>
      <c r="L3" s="14" t="s">
        <v>165</v>
      </c>
      <c r="M3" s="14" t="s">
        <v>166</v>
      </c>
      <c r="N3" s="15" t="s">
        <v>167</v>
      </c>
      <c r="O3" s="14" t="s">
        <v>168</v>
      </c>
      <c r="P3" s="14" t="s">
        <v>169</v>
      </c>
      <c r="Q3" s="14" t="s">
        <v>170</v>
      </c>
      <c r="R3" s="14" t="s">
        <v>171</v>
      </c>
      <c r="S3" s="16" t="s">
        <v>172</v>
      </c>
      <c r="T3" s="14" t="s">
        <v>173</v>
      </c>
      <c r="U3" s="14" t="s">
        <v>174</v>
      </c>
      <c r="V3" s="14" t="s">
        <v>175</v>
      </c>
      <c r="W3" s="14" t="s">
        <v>176</v>
      </c>
      <c r="X3" s="15" t="s">
        <v>177</v>
      </c>
      <c r="Y3" s="14" t="s">
        <v>178</v>
      </c>
      <c r="Z3" s="17"/>
      <c r="AA3" s="18"/>
      <c r="AB3" s="17"/>
      <c r="AC3" s="17"/>
      <c r="AD3" s="17"/>
      <c r="AE3" s="17"/>
      <c r="AF3" s="17"/>
      <c r="AG3" s="18"/>
      <c r="AH3" s="18"/>
      <c r="AI3" s="18"/>
      <c r="AJ3" s="18"/>
      <c r="AK3" s="18"/>
      <c r="AL3" s="18"/>
      <c r="AM3" s="27"/>
    </row>
    <row r="4" spans="1:40">
      <c r="A4" s="19" t="s">
        <v>179</v>
      </c>
      <c r="B4" s="20" t="s">
        <v>180</v>
      </c>
      <c r="C4" s="21" t="s">
        <v>181</v>
      </c>
      <c r="D4" s="21" t="s">
        <v>182</v>
      </c>
      <c r="E4" s="21" t="s">
        <v>183</v>
      </c>
      <c r="F4" s="20" t="s">
        <v>184</v>
      </c>
      <c r="G4" s="21" t="s">
        <v>185</v>
      </c>
      <c r="H4" s="21" t="s">
        <v>186</v>
      </c>
      <c r="I4" s="21" t="s">
        <v>187</v>
      </c>
      <c r="J4" s="21" t="s">
        <v>188</v>
      </c>
      <c r="K4" s="21" t="s">
        <v>189</v>
      </c>
      <c r="L4" s="21" t="s">
        <v>190</v>
      </c>
      <c r="M4" s="21" t="s">
        <v>191</v>
      </c>
      <c r="N4" s="21" t="s">
        <v>192</v>
      </c>
      <c r="O4" s="21" t="s">
        <v>193</v>
      </c>
      <c r="P4" s="21" t="s">
        <v>194</v>
      </c>
      <c r="Q4" s="21" t="s">
        <v>195</v>
      </c>
      <c r="R4" s="21" t="s">
        <v>136</v>
      </c>
      <c r="S4" s="21" t="s">
        <v>196</v>
      </c>
      <c r="T4" s="21" t="s">
        <v>197</v>
      </c>
      <c r="U4" s="21" t="s">
        <v>198</v>
      </c>
      <c r="V4" s="21" t="s">
        <v>199</v>
      </c>
      <c r="W4" s="21" t="s">
        <v>200</v>
      </c>
      <c r="X4" s="22" t="s">
        <v>201</v>
      </c>
      <c r="Y4" s="21" t="s">
        <v>202</v>
      </c>
      <c r="Z4" s="23" t="s">
        <v>203</v>
      </c>
      <c r="AA4" s="24" t="s">
        <v>193</v>
      </c>
      <c r="AB4" s="23" t="s">
        <v>204</v>
      </c>
      <c r="AC4" s="23"/>
      <c r="AD4" s="23"/>
      <c r="AE4" s="23"/>
      <c r="AF4" s="23"/>
      <c r="AG4" s="24" t="s">
        <v>18</v>
      </c>
      <c r="AH4" s="24" t="s">
        <v>18</v>
      </c>
      <c r="AI4" s="24" t="s">
        <v>19</v>
      </c>
      <c r="AJ4" s="24" t="s">
        <v>19</v>
      </c>
      <c r="AK4" s="24"/>
      <c r="AL4" s="24"/>
      <c r="AM4" s="28"/>
    </row>
    <row r="5" spans="1:40" ht="14.25" customHeight="1">
      <c r="A5" s="29">
        <v>46219.192245370374</v>
      </c>
      <c r="B5" s="30">
        <v>46218</v>
      </c>
      <c r="C5">
        <v>1921551</v>
      </c>
      <c r="D5" t="s">
        <v>380</v>
      </c>
      <c r="E5" t="s">
        <v>653</v>
      </c>
      <c r="F5" t="s">
        <v>1660</v>
      </c>
      <c r="G5" t="s">
        <v>429</v>
      </c>
      <c r="H5" t="s">
        <v>641</v>
      </c>
      <c r="I5" t="s">
        <v>86</v>
      </c>
      <c r="J5">
        <v>6420</v>
      </c>
      <c r="K5">
        <v>35.309999999999995</v>
      </c>
      <c r="L5">
        <v>0</v>
      </c>
      <c r="N5">
        <v>35.309999999999995</v>
      </c>
      <c r="O5" t="s">
        <v>1652</v>
      </c>
      <c r="P5">
        <v>0</v>
      </c>
      <c r="Q5" t="s">
        <v>1652</v>
      </c>
      <c r="S5">
        <v>0</v>
      </c>
      <c r="T5">
        <v>1.8</v>
      </c>
      <c r="U5">
        <v>60</v>
      </c>
      <c r="V5">
        <v>0.9907407407407407</v>
      </c>
      <c r="W5" t="s">
        <v>958</v>
      </c>
      <c r="X5" t="s">
        <v>883</v>
      </c>
      <c r="Y5" t="s">
        <v>1656</v>
      </c>
      <c r="AA5" t="s">
        <v>647</v>
      </c>
      <c r="AB5">
        <v>0</v>
      </c>
      <c r="AJ5">
        <v>6420</v>
      </c>
      <c r="AK5" t="s">
        <v>642</v>
      </c>
      <c r="AL5" t="s">
        <v>59</v>
      </c>
      <c r="AM5">
        <v>2</v>
      </c>
      <c r="AN5" s="152">
        <f>IF(J5&lt;&gt;"",J5/VLOOKUP(LEFT(G5,6),List!$P$2:$Q$14,2,0),"")</f>
        <v>2</v>
      </c>
    </row>
    <row r="6" spans="1:40" ht="14.25" customHeight="1">
      <c r="A6" s="29">
        <v>46219.192245370374</v>
      </c>
      <c r="B6" s="30">
        <v>46218</v>
      </c>
      <c r="C6">
        <v>1921551</v>
      </c>
      <c r="D6" t="s">
        <v>380</v>
      </c>
      <c r="E6" t="s">
        <v>653</v>
      </c>
      <c r="F6" t="s">
        <v>1659</v>
      </c>
      <c r="G6" t="s">
        <v>226</v>
      </c>
      <c r="H6" t="s">
        <v>641</v>
      </c>
      <c r="I6" t="s">
        <v>86</v>
      </c>
      <c r="J6">
        <f>5*3210</f>
        <v>16050</v>
      </c>
      <c r="K6">
        <f>35*5</f>
        <v>175</v>
      </c>
      <c r="L6">
        <v>0</v>
      </c>
      <c r="N6">
        <v>175</v>
      </c>
      <c r="O6" t="s">
        <v>1652</v>
      </c>
      <c r="P6">
        <v>0</v>
      </c>
      <c r="Q6" t="s">
        <v>1652</v>
      </c>
      <c r="S6">
        <v>0</v>
      </c>
      <c r="T6">
        <v>1.8</v>
      </c>
      <c r="U6">
        <v>60</v>
      </c>
      <c r="V6">
        <v>0.9907407407407407</v>
      </c>
      <c r="W6" t="s">
        <v>958</v>
      </c>
      <c r="X6" t="s">
        <v>883</v>
      </c>
      <c r="Y6" t="s">
        <v>1656</v>
      </c>
      <c r="AA6" t="s">
        <v>647</v>
      </c>
      <c r="AB6">
        <v>0</v>
      </c>
      <c r="AJ6">
        <v>6420</v>
      </c>
      <c r="AK6" t="s">
        <v>642</v>
      </c>
      <c r="AL6" t="s">
        <v>59</v>
      </c>
      <c r="AM6">
        <v>2</v>
      </c>
      <c r="AN6" s="152">
        <f>IF(J6&lt;&gt;"",J6/VLOOKUP(LEFT(G6,6),List!$P$2:$Q$14,2,0),"")</f>
        <v>5</v>
      </c>
    </row>
    <row r="7" spans="1:40" ht="14.25" customHeight="1">
      <c r="A7" s="29">
        <v>46219.192245370374</v>
      </c>
      <c r="B7" s="30">
        <v>46218</v>
      </c>
      <c r="C7">
        <v>1921551</v>
      </c>
      <c r="D7" t="s">
        <v>380</v>
      </c>
      <c r="E7" t="s">
        <v>653</v>
      </c>
      <c r="F7" t="s">
        <v>1658</v>
      </c>
      <c r="G7" t="s">
        <v>229</v>
      </c>
      <c r="H7" t="s">
        <v>641</v>
      </c>
      <c r="I7" t="s">
        <v>97</v>
      </c>
      <c r="J7">
        <f>4*510</f>
        <v>2040</v>
      </c>
      <c r="K7">
        <f>30*4</f>
        <v>120</v>
      </c>
      <c r="L7">
        <v>0</v>
      </c>
      <c r="N7">
        <v>120</v>
      </c>
      <c r="O7" t="s">
        <v>1652</v>
      </c>
      <c r="P7">
        <v>0</v>
      </c>
      <c r="Q7" t="s">
        <v>1652</v>
      </c>
      <c r="S7">
        <v>0</v>
      </c>
      <c r="T7">
        <v>1.8</v>
      </c>
      <c r="U7">
        <v>60</v>
      </c>
      <c r="V7">
        <v>0.9907407407407407</v>
      </c>
      <c r="W7" t="s">
        <v>958</v>
      </c>
      <c r="X7" t="s">
        <v>883</v>
      </c>
      <c r="Y7" t="s">
        <v>1656</v>
      </c>
      <c r="AA7" t="s">
        <v>647</v>
      </c>
      <c r="AB7">
        <v>0</v>
      </c>
      <c r="AJ7">
        <v>6420</v>
      </c>
      <c r="AK7" t="s">
        <v>642</v>
      </c>
      <c r="AL7" t="s">
        <v>59</v>
      </c>
      <c r="AM7">
        <v>2</v>
      </c>
      <c r="AN7" s="152">
        <f>IF(J7&lt;&gt;"",J7/VLOOKUP(LEFT(G7,6),List!$P$2:$Q$14,2,0),"")</f>
        <v>4</v>
      </c>
    </row>
    <row r="8" spans="1:40" ht="14.25" customHeight="1">
      <c r="A8" s="29">
        <v>46219.20585648148</v>
      </c>
      <c r="B8" s="30">
        <v>46218</v>
      </c>
      <c r="C8">
        <v>2221908</v>
      </c>
      <c r="D8" t="s">
        <v>398</v>
      </c>
      <c r="E8" t="s">
        <v>653</v>
      </c>
      <c r="F8" t="s">
        <v>502</v>
      </c>
      <c r="G8" t="s">
        <v>228</v>
      </c>
      <c r="H8" t="s">
        <v>641</v>
      </c>
      <c r="I8" t="s">
        <v>88</v>
      </c>
      <c r="J8">
        <v>8610</v>
      </c>
      <c r="K8">
        <v>444.27600000000001</v>
      </c>
      <c r="L8">
        <v>0</v>
      </c>
      <c r="N8">
        <v>444.27600000000001</v>
      </c>
      <c r="O8" t="s">
        <v>651</v>
      </c>
      <c r="P8">
        <v>1</v>
      </c>
      <c r="Q8" t="s">
        <v>651</v>
      </c>
      <c r="S8">
        <v>1.1666666666666667</v>
      </c>
      <c r="T8">
        <v>8</v>
      </c>
      <c r="U8">
        <v>21</v>
      </c>
      <c r="V8">
        <v>0.85416666666666663</v>
      </c>
      <c r="W8" t="s">
        <v>958</v>
      </c>
      <c r="X8" t="s">
        <v>883</v>
      </c>
      <c r="Y8" t="s">
        <v>1661</v>
      </c>
      <c r="AA8" t="s">
        <v>652</v>
      </c>
      <c r="AB8">
        <v>0</v>
      </c>
      <c r="AI8">
        <v>14</v>
      </c>
      <c r="AJ8">
        <v>8610</v>
      </c>
      <c r="AK8" t="s">
        <v>642</v>
      </c>
      <c r="AL8" t="s">
        <v>59</v>
      </c>
      <c r="AM8">
        <v>2</v>
      </c>
      <c r="AN8" s="152">
        <f>IF(J8&lt;&gt;"",J8/VLOOKUP(LEFT(G8,6),List!$P$2:$Q$14,2,0),"")</f>
        <v>14</v>
      </c>
    </row>
    <row r="9" spans="1:40" ht="15" customHeight="1">
      <c r="A9" s="29">
        <v>46219.206967592596</v>
      </c>
      <c r="B9" s="30">
        <v>46218</v>
      </c>
      <c r="C9">
        <v>2221908</v>
      </c>
      <c r="D9" t="s">
        <v>398</v>
      </c>
      <c r="E9" t="s">
        <v>653</v>
      </c>
      <c r="F9" t="s">
        <v>604</v>
      </c>
      <c r="G9" t="s">
        <v>225</v>
      </c>
      <c r="H9" t="s">
        <v>641</v>
      </c>
      <c r="I9" t="s">
        <v>89</v>
      </c>
      <c r="J9">
        <v>1860</v>
      </c>
      <c r="K9">
        <v>64.914000000000001</v>
      </c>
      <c r="L9">
        <v>0</v>
      </c>
      <c r="N9">
        <v>64.914000000000001</v>
      </c>
      <c r="O9" t="s">
        <v>651</v>
      </c>
      <c r="P9">
        <v>2</v>
      </c>
      <c r="Q9" t="s">
        <v>651</v>
      </c>
      <c r="S9">
        <v>7</v>
      </c>
      <c r="T9">
        <v>8</v>
      </c>
      <c r="U9">
        <v>30</v>
      </c>
      <c r="V9">
        <v>0.12916666666666668</v>
      </c>
      <c r="W9" t="s">
        <v>958</v>
      </c>
      <c r="X9" t="s">
        <v>883</v>
      </c>
      <c r="Y9" t="s">
        <v>1662</v>
      </c>
      <c r="AA9" t="s">
        <v>652</v>
      </c>
      <c r="AB9">
        <v>0</v>
      </c>
      <c r="AI9">
        <v>2</v>
      </c>
      <c r="AJ9">
        <v>1860</v>
      </c>
      <c r="AK9" t="s">
        <v>642</v>
      </c>
      <c r="AL9" t="s">
        <v>59</v>
      </c>
      <c r="AM9">
        <v>2</v>
      </c>
      <c r="AN9" s="152">
        <f>IF(J9&lt;&gt;"",J9/VLOOKUP(LEFT(G9,6),List!$P$2:$Q$14,2,0),"")</f>
        <v>2</v>
      </c>
    </row>
    <row r="10" spans="1:40" ht="14.25" customHeight="1">
      <c r="A10" s="29">
        <v>46219.209456018521</v>
      </c>
      <c r="B10" s="30">
        <v>46218</v>
      </c>
      <c r="C10">
        <v>2325295</v>
      </c>
      <c r="D10" t="s">
        <v>411</v>
      </c>
      <c r="E10" t="s">
        <v>653</v>
      </c>
      <c r="F10" t="s">
        <v>542</v>
      </c>
      <c r="G10" t="s">
        <v>256</v>
      </c>
      <c r="H10" t="s">
        <v>641</v>
      </c>
      <c r="I10" t="s">
        <v>93</v>
      </c>
      <c r="J10">
        <v>9840</v>
      </c>
      <c r="K10">
        <v>443.78399999999999</v>
      </c>
      <c r="L10">
        <v>0</v>
      </c>
      <c r="N10">
        <v>443.78399999999999</v>
      </c>
      <c r="O10" t="s">
        <v>1663</v>
      </c>
      <c r="P10">
        <v>0</v>
      </c>
      <c r="Q10" t="s">
        <v>1663</v>
      </c>
      <c r="S10">
        <v>1.9166666666666665</v>
      </c>
      <c r="T10">
        <v>8</v>
      </c>
      <c r="U10">
        <v>27</v>
      </c>
      <c r="V10">
        <v>0.7592592592592593</v>
      </c>
      <c r="W10" t="s">
        <v>958</v>
      </c>
      <c r="X10" t="s">
        <v>883</v>
      </c>
      <c r="Y10" t="s">
        <v>1664</v>
      </c>
      <c r="AA10" t="s">
        <v>419</v>
      </c>
      <c r="AB10">
        <v>0</v>
      </c>
      <c r="AG10">
        <v>8</v>
      </c>
      <c r="AH10">
        <v>9840</v>
      </c>
      <c r="AK10" t="s">
        <v>642</v>
      </c>
      <c r="AL10" t="s">
        <v>290</v>
      </c>
      <c r="AM10">
        <v>2</v>
      </c>
      <c r="AN10" s="152">
        <f>IF(J10&lt;&gt;"",J10/VLOOKUP(LEFT(G10,6),List!$P$2:$Q$14,2,0),"")</f>
        <v>16</v>
      </c>
    </row>
    <row r="11" spans="1:40" ht="14.25" customHeight="1">
      <c r="A11" s="29">
        <v>46219.219236111108</v>
      </c>
      <c r="B11" s="30">
        <v>46218</v>
      </c>
      <c r="C11">
        <v>2022158</v>
      </c>
      <c r="D11" t="s">
        <v>394</v>
      </c>
      <c r="E11" t="s">
        <v>653</v>
      </c>
      <c r="F11" t="s">
        <v>670</v>
      </c>
      <c r="G11" t="s">
        <v>1216</v>
      </c>
      <c r="H11" t="s">
        <v>641</v>
      </c>
      <c r="I11" t="s">
        <v>99</v>
      </c>
      <c r="J11">
        <v>3740</v>
      </c>
      <c r="K11">
        <v>521.35599999999999</v>
      </c>
      <c r="L11">
        <v>0</v>
      </c>
      <c r="N11">
        <v>521.35599999999999</v>
      </c>
      <c r="O11" t="s">
        <v>1663</v>
      </c>
      <c r="P11">
        <v>0</v>
      </c>
      <c r="Q11" t="s">
        <v>1663</v>
      </c>
      <c r="S11">
        <v>0</v>
      </c>
      <c r="T11">
        <v>6.2</v>
      </c>
      <c r="U11">
        <v>10</v>
      </c>
      <c r="V11">
        <v>1.0053763440860215</v>
      </c>
      <c r="W11" t="s">
        <v>958</v>
      </c>
      <c r="X11" t="s">
        <v>883</v>
      </c>
      <c r="Y11" t="s">
        <v>1667</v>
      </c>
      <c r="AA11" t="s">
        <v>419</v>
      </c>
      <c r="AB11">
        <v>0</v>
      </c>
      <c r="AG11">
        <v>9</v>
      </c>
      <c r="AH11">
        <v>3740</v>
      </c>
      <c r="AK11" t="s">
        <v>642</v>
      </c>
      <c r="AL11" t="s">
        <v>290</v>
      </c>
      <c r="AM11">
        <v>2</v>
      </c>
      <c r="AN11" s="152">
        <f>IF(J11&lt;&gt;"",J11/VLOOKUP(LEFT(G11,6),List!$P$2:$Q$14,2,0),"")</f>
        <v>17</v>
      </c>
    </row>
    <row r="12" spans="1:40" ht="14.25" customHeight="1">
      <c r="A12" s="29">
        <v>46219.230381944442</v>
      </c>
      <c r="B12" s="30">
        <v>46218</v>
      </c>
      <c r="C12">
        <v>2325365</v>
      </c>
      <c r="D12" t="s">
        <v>414</v>
      </c>
      <c r="E12" t="s">
        <v>653</v>
      </c>
      <c r="F12" t="s">
        <v>519</v>
      </c>
      <c r="G12" t="s">
        <v>243</v>
      </c>
      <c r="H12" t="s">
        <v>641</v>
      </c>
      <c r="I12" t="s">
        <v>82</v>
      </c>
      <c r="J12">
        <v>7440</v>
      </c>
      <c r="K12">
        <v>259.65600000000001</v>
      </c>
      <c r="L12">
        <v>0</v>
      </c>
      <c r="N12">
        <v>259.65600000000001</v>
      </c>
      <c r="O12" t="s">
        <v>1663</v>
      </c>
      <c r="P12">
        <v>0</v>
      </c>
      <c r="Q12" t="s">
        <v>1663</v>
      </c>
      <c r="S12">
        <v>0</v>
      </c>
      <c r="T12">
        <v>4</v>
      </c>
      <c r="U12">
        <v>30</v>
      </c>
      <c r="V12">
        <v>1.0333333333333334</v>
      </c>
      <c r="W12" t="s">
        <v>958</v>
      </c>
      <c r="X12" t="s">
        <v>883</v>
      </c>
      <c r="Y12" t="s">
        <v>1669</v>
      </c>
      <c r="AA12" t="s">
        <v>419</v>
      </c>
      <c r="AB12">
        <v>0</v>
      </c>
      <c r="AJ12">
        <v>7440</v>
      </c>
      <c r="AK12" t="s">
        <v>642</v>
      </c>
      <c r="AL12" t="s">
        <v>290</v>
      </c>
      <c r="AM12">
        <v>2</v>
      </c>
      <c r="AN12" s="152">
        <f>IF(J12&lt;&gt;"",J12/VLOOKUP(LEFT(G12,6),List!$P$2:$Q$14,2,0),"")</f>
        <v>8</v>
      </c>
    </row>
    <row r="13" spans="1:40" ht="14.25" customHeight="1">
      <c r="A13" s="29">
        <v>46219.231354166666</v>
      </c>
      <c r="B13" s="30">
        <v>46218</v>
      </c>
      <c r="C13">
        <v>2325365</v>
      </c>
      <c r="D13" t="s">
        <v>414</v>
      </c>
      <c r="E13" t="s">
        <v>653</v>
      </c>
      <c r="F13" t="s">
        <v>535</v>
      </c>
      <c r="G13" t="s">
        <v>259</v>
      </c>
      <c r="H13" t="s">
        <v>641</v>
      </c>
      <c r="I13" t="s">
        <v>82</v>
      </c>
      <c r="J13">
        <v>6510</v>
      </c>
      <c r="K13">
        <v>227.19900000000001</v>
      </c>
      <c r="L13">
        <v>0</v>
      </c>
      <c r="N13">
        <v>227.19900000000001</v>
      </c>
      <c r="O13" t="s">
        <v>1663</v>
      </c>
      <c r="P13">
        <v>0</v>
      </c>
      <c r="Q13" t="s">
        <v>1663</v>
      </c>
      <c r="S13">
        <v>0.33333333333333331</v>
      </c>
      <c r="T13">
        <v>4</v>
      </c>
      <c r="U13">
        <v>30</v>
      </c>
      <c r="V13">
        <v>0.90416666666666667</v>
      </c>
      <c r="W13" t="s">
        <v>958</v>
      </c>
      <c r="X13" t="s">
        <v>883</v>
      </c>
      <c r="Y13" t="s">
        <v>1670</v>
      </c>
      <c r="AA13" t="s">
        <v>419</v>
      </c>
      <c r="AB13">
        <v>0</v>
      </c>
      <c r="AJ13">
        <v>6510</v>
      </c>
      <c r="AK13" t="s">
        <v>642</v>
      </c>
      <c r="AL13" t="s">
        <v>59</v>
      </c>
      <c r="AM13">
        <v>2</v>
      </c>
      <c r="AN13" s="152">
        <f>IF(J13&lt;&gt;"",J13/VLOOKUP(LEFT(G13,6),List!$P$2:$Q$14,2,0),"")</f>
        <v>7</v>
      </c>
    </row>
    <row r="14" spans="1:40" ht="14.25" customHeight="1">
      <c r="A14" s="29">
        <v>46219.233715277776</v>
      </c>
      <c r="B14" s="30">
        <v>46218</v>
      </c>
      <c r="C14">
        <v>2325310</v>
      </c>
      <c r="D14" t="s">
        <v>413</v>
      </c>
      <c r="E14" t="s">
        <v>653</v>
      </c>
      <c r="F14" t="s">
        <v>567</v>
      </c>
      <c r="G14" t="s">
        <v>481</v>
      </c>
      <c r="H14" t="s">
        <v>641</v>
      </c>
      <c r="I14" t="s">
        <v>101</v>
      </c>
      <c r="J14">
        <v>840</v>
      </c>
      <c r="K14">
        <v>67.367999999999995</v>
      </c>
      <c r="L14">
        <v>0</v>
      </c>
      <c r="N14">
        <v>67.367999999999995</v>
      </c>
      <c r="O14" t="s">
        <v>1663</v>
      </c>
      <c r="P14">
        <v>0</v>
      </c>
      <c r="Q14" t="s">
        <v>1663</v>
      </c>
      <c r="S14">
        <v>7</v>
      </c>
      <c r="T14">
        <v>8</v>
      </c>
      <c r="U14">
        <v>13.5</v>
      </c>
      <c r="V14">
        <v>0.12962962962962962</v>
      </c>
      <c r="W14" t="s">
        <v>958</v>
      </c>
      <c r="X14" t="s">
        <v>883</v>
      </c>
      <c r="Y14" t="s">
        <v>1671</v>
      </c>
      <c r="AA14" t="s">
        <v>419</v>
      </c>
      <c r="AB14">
        <v>0</v>
      </c>
      <c r="AG14">
        <v>2</v>
      </c>
      <c r="AH14">
        <v>840</v>
      </c>
      <c r="AK14" t="s">
        <v>642</v>
      </c>
      <c r="AL14" t="s">
        <v>290</v>
      </c>
      <c r="AM14">
        <v>1</v>
      </c>
      <c r="AN14" s="152">
        <f>IF(J14&lt;&gt;"",J14/VLOOKUP(LEFT(G14,6),List!$P$2:$Q$14,2,0),"")</f>
        <v>2</v>
      </c>
    </row>
    <row r="15" spans="1:40" ht="14.25" customHeight="1">
      <c r="A15" s="29">
        <v>46219.236932870372</v>
      </c>
      <c r="B15" s="30">
        <v>46218</v>
      </c>
      <c r="C15">
        <v>2020965</v>
      </c>
      <c r="D15" t="s">
        <v>386</v>
      </c>
      <c r="E15" t="s">
        <v>653</v>
      </c>
      <c r="F15" t="s">
        <v>547</v>
      </c>
      <c r="G15" t="s">
        <v>258</v>
      </c>
      <c r="H15" t="s">
        <v>641</v>
      </c>
      <c r="I15" t="s">
        <v>96</v>
      </c>
      <c r="J15">
        <v>12080</v>
      </c>
      <c r="K15">
        <v>216.232</v>
      </c>
      <c r="L15">
        <v>39</v>
      </c>
      <c r="M15">
        <v>1</v>
      </c>
      <c r="N15">
        <v>256.23199999999997</v>
      </c>
      <c r="O15" t="s">
        <v>1674</v>
      </c>
      <c r="P15">
        <v>0</v>
      </c>
      <c r="Q15" t="s">
        <v>1674</v>
      </c>
      <c r="S15">
        <v>4</v>
      </c>
      <c r="T15">
        <v>8</v>
      </c>
      <c r="U15">
        <v>50</v>
      </c>
      <c r="V15">
        <v>0.5033333333333333</v>
      </c>
      <c r="W15" t="s">
        <v>958</v>
      </c>
      <c r="X15" t="s">
        <v>883</v>
      </c>
      <c r="Y15" t="s">
        <v>1675</v>
      </c>
      <c r="AA15" t="s">
        <v>647</v>
      </c>
      <c r="AB15">
        <v>0</v>
      </c>
      <c r="AG15">
        <v>4</v>
      </c>
      <c r="AH15">
        <v>12080</v>
      </c>
      <c r="AK15" t="s">
        <v>642</v>
      </c>
      <c r="AL15" t="s">
        <v>290</v>
      </c>
      <c r="AM15">
        <v>2</v>
      </c>
      <c r="AN15" s="152">
        <f>IF(J15&lt;&gt;"",J15/VLOOKUP(LEFT(G15,6),List!$P$2:$Q$14,2,0),"")</f>
        <v>8</v>
      </c>
    </row>
    <row r="16" spans="1:40" ht="14.25" customHeight="1">
      <c r="A16" s="29">
        <v>46219.238842592589</v>
      </c>
      <c r="B16" s="30">
        <v>46218</v>
      </c>
      <c r="C16">
        <v>2020965</v>
      </c>
      <c r="D16" t="s">
        <v>386</v>
      </c>
      <c r="E16" t="s">
        <v>653</v>
      </c>
      <c r="F16" t="s">
        <v>531</v>
      </c>
      <c r="G16" t="s">
        <v>254</v>
      </c>
      <c r="H16" t="s">
        <v>641</v>
      </c>
      <c r="I16" t="s">
        <v>95</v>
      </c>
      <c r="J16">
        <v>9840</v>
      </c>
      <c r="K16">
        <v>507.74400000000003</v>
      </c>
      <c r="L16">
        <v>26</v>
      </c>
      <c r="M16">
        <v>1</v>
      </c>
      <c r="N16">
        <v>534.74400000000003</v>
      </c>
      <c r="O16" t="s">
        <v>1676</v>
      </c>
      <c r="P16">
        <v>0</v>
      </c>
      <c r="Q16" t="s">
        <v>1676</v>
      </c>
      <c r="S16">
        <v>0.91666666666666663</v>
      </c>
      <c r="T16">
        <v>7</v>
      </c>
      <c r="U16">
        <v>27</v>
      </c>
      <c r="V16">
        <v>0.86772486772486779</v>
      </c>
      <c r="W16" t="s">
        <v>958</v>
      </c>
      <c r="X16" t="s">
        <v>883</v>
      </c>
      <c r="Y16" t="s">
        <v>1677</v>
      </c>
      <c r="AA16" t="s">
        <v>419</v>
      </c>
      <c r="AB16">
        <v>0</v>
      </c>
      <c r="AG16">
        <v>8</v>
      </c>
      <c r="AH16">
        <v>9840</v>
      </c>
      <c r="AK16" t="s">
        <v>642</v>
      </c>
      <c r="AL16" t="s">
        <v>290</v>
      </c>
      <c r="AM16">
        <v>2</v>
      </c>
      <c r="AN16" s="152">
        <f>IF(J16&lt;&gt;"",J16/VLOOKUP(LEFT(G16,6),List!$P$2:$Q$14,2,0),"")</f>
        <v>16</v>
      </c>
    </row>
    <row r="17" spans="1:40" ht="14.25" customHeight="1">
      <c r="A17" s="29">
        <v>46224.250185185185</v>
      </c>
      <c r="B17" s="30">
        <v>46223</v>
      </c>
      <c r="C17">
        <v>2021742</v>
      </c>
      <c r="D17" t="s">
        <v>391</v>
      </c>
      <c r="E17" t="s">
        <v>653</v>
      </c>
      <c r="F17" t="s">
        <v>547</v>
      </c>
      <c r="G17" t="s">
        <v>258</v>
      </c>
      <c r="H17" t="s">
        <v>641</v>
      </c>
      <c r="I17" t="s">
        <v>96</v>
      </c>
      <c r="J17">
        <v>4420</v>
      </c>
      <c r="K17">
        <v>79.117999999999995</v>
      </c>
      <c r="L17">
        <v>0</v>
      </c>
      <c r="M17">
        <v>0</v>
      </c>
      <c r="N17">
        <v>79.117999999999995</v>
      </c>
      <c r="O17" t="s">
        <v>1815</v>
      </c>
      <c r="P17">
        <v>0</v>
      </c>
      <c r="Q17" t="s">
        <v>1815</v>
      </c>
      <c r="S17">
        <v>0</v>
      </c>
      <c r="T17">
        <v>1.5</v>
      </c>
      <c r="U17">
        <v>50</v>
      </c>
      <c r="V17">
        <v>0.98222222222222233</v>
      </c>
      <c r="W17" t="s">
        <v>958</v>
      </c>
      <c r="X17" t="s">
        <v>883</v>
      </c>
      <c r="Y17" t="s">
        <v>1820</v>
      </c>
      <c r="AA17" t="s">
        <v>647</v>
      </c>
      <c r="AB17">
        <v>0</v>
      </c>
      <c r="AI17">
        <v>2</v>
      </c>
      <c r="AJ17">
        <v>4420</v>
      </c>
      <c r="AK17" t="s">
        <v>642</v>
      </c>
      <c r="AL17" t="s">
        <v>290</v>
      </c>
      <c r="AM17">
        <v>2</v>
      </c>
      <c r="AN17" s="152">
        <f>IF(J17&lt;&gt;"",J17/VLOOKUP(LEFT(G17,6),List!$P$2:$Q$14,2,0),"")</f>
        <v>2.9271523178807946</v>
      </c>
    </row>
    <row r="18" spans="1:40" ht="14.25" customHeight="1">
      <c r="A18" s="29">
        <v>46224.522407407407</v>
      </c>
      <c r="B18" s="30">
        <v>46224</v>
      </c>
      <c r="C18">
        <v>2241656</v>
      </c>
      <c r="D18" t="s">
        <v>409</v>
      </c>
      <c r="E18" t="s">
        <v>659</v>
      </c>
      <c r="F18" t="s">
        <v>547</v>
      </c>
      <c r="G18" t="s">
        <v>258</v>
      </c>
      <c r="H18" t="s">
        <v>641</v>
      </c>
      <c r="I18" t="s">
        <v>96</v>
      </c>
      <c r="J18">
        <v>3020</v>
      </c>
      <c r="K18">
        <v>54.058</v>
      </c>
      <c r="L18">
        <v>0</v>
      </c>
      <c r="M18">
        <v>0</v>
      </c>
      <c r="N18">
        <v>54.058</v>
      </c>
      <c r="O18" t="s">
        <v>1052</v>
      </c>
      <c r="P18">
        <v>0</v>
      </c>
      <c r="Q18" t="s">
        <v>1052</v>
      </c>
      <c r="S18">
        <v>0</v>
      </c>
      <c r="T18">
        <v>1</v>
      </c>
      <c r="U18">
        <v>50</v>
      </c>
      <c r="V18">
        <v>1.0066666666666666</v>
      </c>
      <c r="W18" t="s">
        <v>958</v>
      </c>
      <c r="X18" t="s">
        <v>883</v>
      </c>
      <c r="Y18" t="s">
        <v>1828</v>
      </c>
      <c r="AA18" t="s">
        <v>647</v>
      </c>
      <c r="AB18">
        <v>47</v>
      </c>
      <c r="AI18">
        <v>2</v>
      </c>
      <c r="AJ18">
        <v>3020</v>
      </c>
      <c r="AK18" t="s">
        <v>642</v>
      </c>
      <c r="AL18" t="s">
        <v>290</v>
      </c>
      <c r="AM18">
        <v>2</v>
      </c>
    </row>
    <row r="19" spans="1:40" ht="14.25" customHeight="1">
      <c r="A19" s="29"/>
      <c r="B19" s="30"/>
      <c r="AN19" s="152" t="str">
        <f>IF(J19&lt;&gt;"",J19/VLOOKUP(LEFT(G19,6),List!$P$2:$Q$14,2,0),"")</f>
        <v/>
      </c>
    </row>
    <row r="20" spans="1:40" ht="14.25" customHeight="1">
      <c r="A20" s="29"/>
      <c r="B20" s="30"/>
      <c r="AN20" s="152" t="str">
        <f>IF(J20&lt;&gt;"",J20/VLOOKUP(LEFT(G20,6),List!$P$2:$Q$14,2,0),"")</f>
        <v/>
      </c>
    </row>
    <row r="21" spans="1:40">
      <c r="A21" s="146"/>
      <c r="B21" s="146"/>
      <c r="K21" s="141"/>
    </row>
    <row r="22" spans="1:40" ht="14.25" customHeight="1">
      <c r="A22" s="29"/>
      <c r="B22" s="30"/>
      <c r="AN22" s="152" t="str">
        <f>IF(J22&lt;&gt;"",J22/VLOOKUP(LEFT(G22,6),List!$P$2:$Q$14,2,0),"")</f>
        <v/>
      </c>
    </row>
    <row r="23" spans="1:40" ht="14.25" customHeight="1">
      <c r="A23" s="29"/>
      <c r="B23" s="30"/>
      <c r="AN23" s="152" t="str">
        <f>IF(J23&lt;&gt;"",J23/VLOOKUP(LEFT(G23,6),List!$P$2:$Q$14,2,0),"")</f>
        <v/>
      </c>
    </row>
    <row r="24" spans="1:40" ht="14.25" customHeight="1">
      <c r="A24" s="29"/>
      <c r="B24" s="30"/>
      <c r="AN24" s="152" t="str">
        <f>IF(J24&lt;&gt;"",J24/VLOOKUP(LEFT(G24,6),List!$P$2:$Q$14,2,0),"")</f>
        <v/>
      </c>
    </row>
    <row r="25" spans="1:40" ht="14.25" customHeight="1">
      <c r="A25" s="29"/>
      <c r="B25" s="30"/>
      <c r="AN25" s="152" t="str">
        <f>IF(J25&lt;&gt;"",J25/VLOOKUP(LEFT(G25,6),List!$P$2:$Q$14,2,0),"")</f>
        <v/>
      </c>
    </row>
    <row r="26" spans="1:40" ht="14.25" customHeight="1">
      <c r="A26" s="29"/>
      <c r="B26" s="30"/>
      <c r="AN26" s="152" t="str">
        <f>IF(J26&lt;&gt;"",J26/VLOOKUP(LEFT(G26,6),List!$P$2:$Q$14,2,0),"")</f>
        <v/>
      </c>
    </row>
    <row r="27" spans="1:40" ht="14.25" customHeight="1">
      <c r="A27" s="29"/>
      <c r="B27" s="30"/>
      <c r="AN27" s="152" t="str">
        <f>IF(J27&lt;&gt;"",J27/VLOOKUP(LEFT(G27,6),List!$P$2:$Q$14,2,0),"")</f>
        <v/>
      </c>
    </row>
    <row r="28" spans="1:40" ht="14.25" customHeight="1">
      <c r="A28" s="29"/>
      <c r="B28" s="30"/>
      <c r="AN28" s="152" t="str">
        <f>IF(J28&lt;&gt;"",J28/VLOOKUP(LEFT(G28,6),List!$P$2:$Q$14,2,0),"")</f>
        <v/>
      </c>
    </row>
    <row r="29" spans="1:40" ht="14.25" customHeight="1">
      <c r="A29" s="29"/>
      <c r="B29" s="30"/>
      <c r="AN29" s="152" t="str">
        <f>IF(J29&lt;&gt;"",J29/VLOOKUP(LEFT(G29,6),List!$P$2:$Q$14,2,0),"")</f>
        <v/>
      </c>
    </row>
    <row r="30" spans="1:40" ht="14.25" customHeight="1">
      <c r="A30" s="29"/>
      <c r="B30" s="30"/>
      <c r="AN30" s="152" t="str">
        <f>IF(J30&lt;&gt;"",J30/VLOOKUP(LEFT(G30,6),List!$P$2:$Q$14,2,0),"")</f>
        <v/>
      </c>
    </row>
    <row r="31" spans="1:40" ht="14.25" customHeight="1">
      <c r="A31" s="29"/>
      <c r="B31" s="30"/>
      <c r="AN31" s="152" t="str">
        <f>IF(J31&lt;&gt;"",J31/VLOOKUP(LEFT(G31,6),List!$P$2:$Q$14,2,0),"")</f>
        <v/>
      </c>
    </row>
    <row r="32" spans="1:40" ht="14.25" customHeight="1">
      <c r="A32" s="29"/>
      <c r="B32" s="30"/>
      <c r="AN32" s="152" t="str">
        <f>IF(J32&lt;&gt;"",J32/VLOOKUP(LEFT(G32,6),List!$P$2:$Q$14,2,0),"")</f>
        <v/>
      </c>
    </row>
    <row r="33" spans="1:40" ht="14.25" customHeight="1">
      <c r="A33" s="29"/>
      <c r="B33" s="30"/>
      <c r="AN33" s="152" t="str">
        <f>IF(J33&lt;&gt;"",J33/VLOOKUP(LEFT(G33,6),List!$P$2:$Q$14,2,0),"")</f>
        <v/>
      </c>
    </row>
    <row r="34" spans="1:40" ht="14.25" customHeight="1">
      <c r="A34" s="29"/>
      <c r="B34" s="30"/>
      <c r="AN34" s="152" t="str">
        <f>IF(J34&lt;&gt;"",J34/VLOOKUP(LEFT(G34,6),List!$P$2:$Q$14,2,0),"")</f>
        <v/>
      </c>
    </row>
    <row r="35" spans="1:40" ht="14.25" customHeight="1">
      <c r="A35" s="29"/>
      <c r="B35" s="30"/>
      <c r="AN35" s="152" t="str">
        <f>IF(J35&lt;&gt;"",J35/VLOOKUP(LEFT(G35,6),List!$P$2:$Q$14,2,0),"")</f>
        <v/>
      </c>
    </row>
    <row r="36" spans="1:40" ht="14.25" customHeight="1">
      <c r="A36" s="29"/>
      <c r="B36" s="30"/>
      <c r="AN36" s="152" t="str">
        <f>IF(J36&lt;&gt;"",J36/VLOOKUP(LEFT(G36,6),List!$P$2:$Q$14,2,0),"")</f>
        <v/>
      </c>
    </row>
    <row r="37" spans="1:40" ht="14.25" customHeight="1">
      <c r="A37" s="29"/>
      <c r="B37" s="30"/>
      <c r="AN37" s="152" t="str">
        <f>IF(J37&lt;&gt;"",J37/VLOOKUP(LEFT(G37,6),List!$P$2:$Q$14,2,0),"")</f>
        <v/>
      </c>
    </row>
    <row r="38" spans="1:40">
      <c r="A38" s="29"/>
      <c r="B38" s="30"/>
      <c r="AN38" s="155" t="str">
        <f>IF(A38&lt;&gt;"",J38/VLOOKUP(LEFT(G38,6),List!$P$2:$Q$14,2,0),"")</f>
        <v/>
      </c>
    </row>
    <row r="39" spans="1:40" ht="14.25" customHeight="1">
      <c r="A39" s="29"/>
      <c r="B39" s="30"/>
      <c r="AN39" s="155"/>
    </row>
    <row r="40" spans="1:40" ht="14.25" customHeight="1">
      <c r="A40" s="29"/>
      <c r="B40" s="30"/>
      <c r="AN40" s="155"/>
    </row>
    <row r="41" spans="1:40" ht="14.25" customHeight="1">
      <c r="A41" s="29"/>
      <c r="B41" s="30"/>
      <c r="AN41" s="155"/>
    </row>
    <row r="42" spans="1:40" ht="14.25" customHeight="1">
      <c r="A42" s="29"/>
      <c r="B42" s="30"/>
      <c r="AN42" s="155"/>
    </row>
    <row r="43" spans="1:40" ht="14.25" customHeight="1">
      <c r="A43" s="29"/>
      <c r="B43" s="30"/>
      <c r="AN43" s="155"/>
    </row>
    <row r="44" spans="1:40" ht="14.25" customHeight="1">
      <c r="AN44" s="155"/>
    </row>
    <row r="45" spans="1:40" ht="14.25" customHeight="1">
      <c r="AN45" s="155"/>
    </row>
    <row r="46" spans="1:40" ht="14.25" customHeight="1">
      <c r="AN46" s="155"/>
    </row>
    <row r="47" spans="1:40" ht="14.25" customHeight="1">
      <c r="AN47" s="155"/>
    </row>
    <row r="48" spans="1:40" ht="14.25" customHeight="1">
      <c r="AN48" s="155"/>
    </row>
    <row r="49" spans="1:40" ht="14.25" customHeight="1">
      <c r="AN49" s="155"/>
    </row>
    <row r="50" spans="1:40" ht="14.25" customHeight="1">
      <c r="AN50" s="155"/>
    </row>
    <row r="51" spans="1:40" ht="14.25" customHeight="1">
      <c r="AN51" s="155"/>
    </row>
    <row r="52" spans="1:40" ht="14.25" customHeight="1">
      <c r="AN52" s="155"/>
    </row>
    <row r="53" spans="1:40" ht="14.25" customHeight="1">
      <c r="AN53" s="155"/>
    </row>
    <row r="54" spans="1:40" ht="14.25" customHeight="1">
      <c r="AN54" s="155"/>
    </row>
    <row r="55" spans="1:40" ht="14.25" customHeight="1">
      <c r="A55" s="29"/>
      <c r="B55" s="30"/>
      <c r="AN55" s="155"/>
    </row>
    <row r="56" spans="1:40" ht="14.25" customHeight="1">
      <c r="AN56" s="155"/>
    </row>
    <row r="57" spans="1:40" ht="14.25" customHeight="1">
      <c r="AN57" s="155"/>
    </row>
    <row r="58" spans="1:40" ht="14.25" customHeight="1">
      <c r="AN58" s="155"/>
    </row>
    <row r="59" spans="1:40" ht="14.25" customHeight="1">
      <c r="AN59" s="155"/>
    </row>
    <row r="60" spans="1:40" ht="14.25" customHeight="1">
      <c r="AN60" s="155"/>
    </row>
    <row r="61" spans="1:40" ht="14.25" customHeight="1">
      <c r="AN61" s="155"/>
    </row>
    <row r="62" spans="1:40" ht="14.25" customHeight="1">
      <c r="AN62" s="155"/>
    </row>
    <row r="63" spans="1:40" ht="14.25" customHeight="1">
      <c r="AN63" s="155"/>
    </row>
    <row r="64" spans="1:40" ht="14.25" customHeight="1">
      <c r="AN64" s="155"/>
    </row>
    <row r="65" spans="40:40" ht="14.25" customHeight="1">
      <c r="AN65" s="155"/>
    </row>
    <row r="66" spans="40:40" ht="14.25" customHeight="1">
      <c r="AN66" s="155"/>
    </row>
    <row r="67" spans="40:40" ht="14.25" customHeight="1">
      <c r="AN67" s="155"/>
    </row>
    <row r="68" spans="40:40" ht="14.25" customHeight="1">
      <c r="AN68" s="155"/>
    </row>
    <row r="69" spans="40:40" ht="14.25" customHeight="1">
      <c r="AN69" s="155"/>
    </row>
    <row r="70" spans="40:40" ht="14.25" customHeight="1">
      <c r="AN70" s="155"/>
    </row>
    <row r="71" spans="40:40" ht="14.25" customHeight="1">
      <c r="AN71" s="155"/>
    </row>
    <row r="72" spans="40:40" ht="14.25" customHeight="1">
      <c r="AN72" s="155"/>
    </row>
    <row r="73" spans="40:40" ht="14.25" customHeight="1">
      <c r="AN73" s="155"/>
    </row>
    <row r="74" spans="40:40" ht="14.25" customHeight="1">
      <c r="AN74" s="155"/>
    </row>
    <row r="75" spans="40:40" ht="14.25" customHeight="1">
      <c r="AN75" s="155"/>
    </row>
    <row r="76" spans="40:40" ht="14.25" customHeight="1">
      <c r="AN76" s="155"/>
    </row>
    <row r="77" spans="40:40" ht="14.25" customHeight="1">
      <c r="AN77" s="155"/>
    </row>
    <row r="78" spans="40:40" ht="14.25" customHeight="1">
      <c r="AN78" s="155"/>
    </row>
    <row r="79" spans="40:40" ht="14.25" customHeight="1">
      <c r="AN79" s="155"/>
    </row>
    <row r="80" spans="40:40" ht="14.25" customHeight="1">
      <c r="AN80" s="155"/>
    </row>
    <row r="81" spans="40:40" ht="14.25" customHeight="1">
      <c r="AN81" s="155"/>
    </row>
    <row r="82" spans="40:40" ht="14.25" customHeight="1">
      <c r="AN82" s="155"/>
    </row>
    <row r="83" spans="40:40" ht="14.25" customHeight="1">
      <c r="AN83" s="155"/>
    </row>
    <row r="84" spans="40:40" ht="14.25" customHeight="1">
      <c r="AN84" s="155"/>
    </row>
    <row r="85" spans="40:40" ht="14.25" customHeight="1">
      <c r="AN85" s="155"/>
    </row>
    <row r="86" spans="40:40" ht="14.25" customHeight="1">
      <c r="AN86" s="155"/>
    </row>
    <row r="87" spans="40:40">
      <c r="AN87" s="155"/>
    </row>
    <row r="88" spans="40:40" ht="14.25" customHeight="1">
      <c r="AN88" s="155"/>
    </row>
    <row r="89" spans="40:40" ht="14.25" customHeight="1">
      <c r="AN89" s="155"/>
    </row>
    <row r="90" spans="40:40" ht="14.25" customHeight="1">
      <c r="AN90" s="155"/>
    </row>
    <row r="91" spans="40:40" ht="14.25" customHeight="1">
      <c r="AN91" s="155"/>
    </row>
    <row r="92" spans="40:40" ht="14.25" customHeight="1">
      <c r="AN92" s="155"/>
    </row>
    <row r="93" spans="40:40" ht="14.25" customHeight="1">
      <c r="AN93" s="155"/>
    </row>
    <row r="94" spans="40:40" ht="14.25" customHeight="1">
      <c r="AN94" s="155"/>
    </row>
    <row r="95" spans="40:40" ht="14.25" customHeight="1">
      <c r="AN95" s="155"/>
    </row>
    <row r="96" spans="40:40" ht="14.25" customHeight="1">
      <c r="AN96" s="155"/>
    </row>
    <row r="97" spans="40:40" ht="14.25" customHeight="1">
      <c r="AN97" s="155"/>
    </row>
    <row r="98" spans="40:40" ht="14.25" customHeight="1">
      <c r="AN98" s="155"/>
    </row>
    <row r="99" spans="40:40" ht="14.25" customHeight="1">
      <c r="AN99" s="155"/>
    </row>
    <row r="100" spans="40:40" ht="14.25" customHeight="1">
      <c r="AN100" s="155"/>
    </row>
    <row r="101" spans="40:40" ht="14.25" customHeight="1">
      <c r="AN101" s="155"/>
    </row>
    <row r="102" spans="40:40" ht="14.25" customHeight="1">
      <c r="AN102" s="155"/>
    </row>
    <row r="103" spans="40:40" ht="14.25" customHeight="1">
      <c r="AN103" s="155"/>
    </row>
    <row r="104" spans="40:40" ht="14.25" customHeight="1">
      <c r="AN104" s="155"/>
    </row>
    <row r="105" spans="40:40" ht="14.25" customHeight="1">
      <c r="AN105" s="155"/>
    </row>
    <row r="106" spans="40:40" ht="14.25" customHeight="1">
      <c r="AN106" s="155"/>
    </row>
    <row r="107" spans="40:40" ht="14.25" customHeight="1">
      <c r="AN107" s="155"/>
    </row>
    <row r="108" spans="40:40" ht="14.25" customHeight="1">
      <c r="AN108" s="155"/>
    </row>
    <row r="109" spans="40:40" ht="14.25" customHeight="1">
      <c r="AN109" s="155"/>
    </row>
    <row r="110" spans="40:40" ht="14.25" customHeight="1">
      <c r="AN110" s="155"/>
    </row>
    <row r="111" spans="40:40" ht="14.25" customHeight="1">
      <c r="AN111" s="155"/>
    </row>
    <row r="112" spans="40:40" ht="14.25" customHeight="1">
      <c r="AN112" s="155"/>
    </row>
    <row r="113" spans="40:40" ht="14.25" customHeight="1">
      <c r="AN113" s="155"/>
    </row>
    <row r="114" spans="40:40" ht="14.25" customHeight="1">
      <c r="AN114" s="155"/>
    </row>
    <row r="115" spans="40:40" ht="14.25" customHeight="1">
      <c r="AN115" s="155"/>
    </row>
    <row r="116" spans="40:40" ht="14.25" customHeight="1">
      <c r="AN116" s="155"/>
    </row>
    <row r="117" spans="40:40" ht="14.25" customHeight="1">
      <c r="AN117" s="155"/>
    </row>
    <row r="118" spans="40:40" ht="14.25" customHeight="1">
      <c r="AN118" s="155"/>
    </row>
    <row r="119" spans="40:40" ht="14.25" customHeight="1">
      <c r="AN119" s="155"/>
    </row>
    <row r="120" spans="40:40" ht="14.25" customHeight="1">
      <c r="AN120" s="155"/>
    </row>
    <row r="121" spans="40:40" ht="14.25" customHeight="1">
      <c r="AN121" s="155"/>
    </row>
    <row r="122" spans="40:40" ht="14.25" customHeight="1">
      <c r="AN122" s="155"/>
    </row>
    <row r="123" spans="40:40" ht="14.25" customHeight="1">
      <c r="AN123" s="155"/>
    </row>
    <row r="124" spans="40:40" ht="14.25" customHeight="1">
      <c r="AN124" s="155"/>
    </row>
    <row r="125" spans="40:40" ht="14.25" customHeight="1">
      <c r="AN125" s="155"/>
    </row>
    <row r="126" spans="40:40" ht="14.25" customHeight="1">
      <c r="AN126" s="155"/>
    </row>
    <row r="127" spans="40:40" ht="14.25" customHeight="1">
      <c r="AN127" s="155"/>
    </row>
    <row r="128" spans="40:40" ht="14.25" customHeight="1">
      <c r="AN128" s="155"/>
    </row>
    <row r="129" spans="40:40" ht="14.25" customHeight="1">
      <c r="AN129" s="155"/>
    </row>
    <row r="130" spans="40:40" ht="14.25" customHeight="1">
      <c r="AN130" s="155"/>
    </row>
    <row r="131" spans="40:40" ht="14.25" customHeight="1">
      <c r="AN131" s="155"/>
    </row>
    <row r="132" spans="40:40" ht="14.25" customHeight="1">
      <c r="AN132" s="155"/>
    </row>
    <row r="133" spans="40:40" ht="14.25" customHeight="1">
      <c r="AN133" s="155"/>
    </row>
    <row r="134" spans="40:40" ht="14.25" customHeight="1">
      <c r="AN134" s="155"/>
    </row>
    <row r="135" spans="40:40" ht="14.25" customHeight="1">
      <c r="AN135" s="155"/>
    </row>
    <row r="136" spans="40:40" ht="14.25" customHeight="1">
      <c r="AN136" s="155"/>
    </row>
    <row r="137" spans="40:40" ht="14.25" customHeight="1">
      <c r="AN137" s="155"/>
    </row>
    <row r="138" spans="40:40" ht="14.25" customHeight="1">
      <c r="AN138" s="155"/>
    </row>
    <row r="139" spans="40:40" ht="14.25" customHeight="1">
      <c r="AN139" s="155"/>
    </row>
    <row r="140" spans="40:40" ht="14.25" customHeight="1">
      <c r="AN140" s="155"/>
    </row>
    <row r="141" spans="40:40" ht="14.25" customHeight="1">
      <c r="AN141" s="155"/>
    </row>
    <row r="142" spans="40:40" ht="14.25" customHeight="1">
      <c r="AN142" s="155"/>
    </row>
    <row r="143" spans="40:40" ht="14.25" customHeight="1">
      <c r="AN143" s="155"/>
    </row>
    <row r="144" spans="40:40" ht="14.25" customHeight="1">
      <c r="AN144" s="155"/>
    </row>
    <row r="145" spans="1:40" ht="14.25" customHeight="1">
      <c r="AN145" s="155"/>
    </row>
    <row r="146" spans="1:40" ht="14.25" customHeight="1">
      <c r="AN146" s="155"/>
    </row>
    <row r="147" spans="1:40" ht="14.25" customHeight="1">
      <c r="A147" s="29"/>
      <c r="B147" s="30"/>
      <c r="AN147" s="155"/>
    </row>
    <row r="148" spans="1:40" ht="14.25" customHeight="1">
      <c r="AN148" s="155"/>
    </row>
    <row r="149" spans="1:40" ht="14.25" customHeight="1">
      <c r="AN149" s="155"/>
    </row>
    <row r="150" spans="1:40" ht="14.25" customHeight="1">
      <c r="AN150" s="155"/>
    </row>
    <row r="151" spans="1:40" ht="14.25" customHeight="1">
      <c r="AN151" s="155"/>
    </row>
    <row r="152" spans="1:40" ht="14.25" customHeight="1">
      <c r="AN152" s="155"/>
    </row>
    <row r="153" spans="1:40" ht="14.25" customHeight="1">
      <c r="AN153" s="155"/>
    </row>
    <row r="154" spans="1:40" ht="14.25" customHeight="1">
      <c r="AN154" s="155"/>
    </row>
    <row r="155" spans="1:40" ht="14.25" customHeight="1">
      <c r="AN155" s="155"/>
    </row>
    <row r="156" spans="1:40" ht="14.25" customHeight="1">
      <c r="AN156" s="155"/>
    </row>
    <row r="157" spans="1:40" ht="14.25" customHeight="1">
      <c r="AN157" s="155"/>
    </row>
    <row r="158" spans="1:40" ht="14.25" customHeight="1">
      <c r="AN158" s="155"/>
    </row>
    <row r="159" spans="1:40" ht="14.25" customHeight="1">
      <c r="AN159" s="155"/>
    </row>
    <row r="160" spans="1:40" ht="14.25" customHeight="1">
      <c r="AN160" s="155"/>
    </row>
    <row r="161" spans="3:40" ht="14.25" customHeight="1">
      <c r="AN161" s="155"/>
    </row>
    <row r="162" spans="3:40" ht="14.25" customHeight="1">
      <c r="AN162" s="155"/>
    </row>
    <row r="163" spans="3:40" ht="14.25" customHeight="1">
      <c r="AN163" s="155"/>
    </row>
    <row r="164" spans="3:40" ht="14.25" customHeight="1">
      <c r="C164" s="114"/>
      <c r="AN164" s="155"/>
    </row>
    <row r="165" spans="3:40" ht="14.25" customHeight="1">
      <c r="AN165" s="155"/>
    </row>
    <row r="166" spans="3:40" ht="14.25" customHeight="1">
      <c r="AN166" s="155"/>
    </row>
    <row r="167" spans="3:40" ht="14.25" customHeight="1">
      <c r="AN167" s="155"/>
    </row>
    <row r="168" spans="3:40" ht="14.25" customHeight="1">
      <c r="AN168" s="155"/>
    </row>
    <row r="169" spans="3:40" ht="14.25" customHeight="1">
      <c r="AN169" s="155"/>
    </row>
    <row r="170" spans="3:40" ht="14.25" customHeight="1">
      <c r="AN170" s="155"/>
    </row>
    <row r="171" spans="3:40" ht="14.25" customHeight="1">
      <c r="AN171" s="155"/>
    </row>
    <row r="172" spans="3:40" ht="14.25" customHeight="1">
      <c r="AN172" s="155"/>
    </row>
    <row r="173" spans="3:40" ht="14.25" customHeight="1">
      <c r="AN173" s="155"/>
    </row>
    <row r="174" spans="3:40" ht="14.25" customHeight="1">
      <c r="AN174" s="155"/>
    </row>
    <row r="175" spans="3:40" ht="14.25" customHeight="1">
      <c r="AN175" s="155"/>
    </row>
    <row r="176" spans="3:40" ht="14.25" customHeight="1">
      <c r="AN176" s="155"/>
    </row>
    <row r="177" spans="40:40" ht="14.25" customHeight="1">
      <c r="AN177" s="155"/>
    </row>
    <row r="178" spans="40:40" ht="14.25" customHeight="1">
      <c r="AN178" s="155"/>
    </row>
    <row r="179" spans="40:40" ht="14.25" customHeight="1">
      <c r="AN179" s="155"/>
    </row>
    <row r="180" spans="40:40" ht="14.25" customHeight="1">
      <c r="AN180" s="155"/>
    </row>
    <row r="181" spans="40:40" ht="14.25" customHeight="1">
      <c r="AN181" s="155"/>
    </row>
    <row r="182" spans="40:40" ht="14.25" customHeight="1">
      <c r="AN182" s="155"/>
    </row>
    <row r="183" spans="40:40" ht="14.25" customHeight="1">
      <c r="AN183" s="155"/>
    </row>
    <row r="184" spans="40:40" ht="14.25" customHeight="1">
      <c r="AN184" s="155"/>
    </row>
    <row r="185" spans="40:40" ht="14.25" customHeight="1">
      <c r="AN185" s="155"/>
    </row>
    <row r="186" spans="40:40" ht="14.25" customHeight="1">
      <c r="AN186" s="155"/>
    </row>
    <row r="187" spans="40:40" ht="14.25" customHeight="1">
      <c r="AN187" s="155"/>
    </row>
    <row r="188" spans="40:40" ht="14.25" customHeight="1">
      <c r="AN188" s="155"/>
    </row>
    <row r="189" spans="40:40" ht="14.25" customHeight="1">
      <c r="AN189" s="155"/>
    </row>
    <row r="190" spans="40:40" ht="14.25" customHeight="1">
      <c r="AN190" s="155"/>
    </row>
    <row r="191" spans="40:40" ht="14.25" customHeight="1">
      <c r="AN191" s="155"/>
    </row>
    <row r="192" spans="40:40" ht="14.25" customHeight="1">
      <c r="AN192" s="155"/>
    </row>
    <row r="193" spans="1:40" ht="14.25" customHeight="1">
      <c r="AN193" s="155"/>
    </row>
    <row r="194" spans="1:40" ht="14.25" customHeight="1">
      <c r="AN194" s="155"/>
    </row>
    <row r="195" spans="1:40" ht="14.25" customHeight="1">
      <c r="AN195" s="155"/>
    </row>
    <row r="196" spans="1:40" ht="14.25" customHeight="1">
      <c r="AN196" s="155"/>
    </row>
    <row r="197" spans="1:40" ht="14.25" customHeight="1">
      <c r="AN197" s="155"/>
    </row>
    <row r="198" spans="1:40" ht="14.25" customHeight="1">
      <c r="AN198" s="155"/>
    </row>
    <row r="199" spans="1:40" ht="14.25" customHeight="1">
      <c r="AN199" s="155"/>
    </row>
    <row r="200" spans="1:40" ht="14.25" customHeight="1">
      <c r="AN200" s="155"/>
    </row>
    <row r="201" spans="1:40" ht="14.25" customHeight="1">
      <c r="AN201" s="155"/>
    </row>
    <row r="202" spans="1:40" ht="14.25" customHeight="1">
      <c r="AN202" s="155"/>
    </row>
    <row r="203" spans="1:40" ht="14.25" customHeight="1">
      <c r="AN203" s="155"/>
    </row>
    <row r="204" spans="1:40" ht="14.25" customHeight="1">
      <c r="AN204" s="155"/>
    </row>
    <row r="205" spans="1:40" ht="14.25" customHeight="1">
      <c r="A205" s="123"/>
      <c r="B205" s="123"/>
      <c r="C205" s="123"/>
      <c r="D205" s="123"/>
      <c r="E205" s="123"/>
      <c r="F205" s="123"/>
      <c r="AN205" s="155"/>
    </row>
    <row r="206" spans="1:40" ht="14.25" customHeight="1">
      <c r="AN206" s="155"/>
    </row>
    <row r="207" spans="1:40" ht="14.25" customHeight="1">
      <c r="AN207" s="155"/>
    </row>
    <row r="208" spans="1:40" ht="14.25" customHeight="1">
      <c r="AN208" s="155"/>
    </row>
    <row r="209" spans="40:40" ht="14.25" customHeight="1">
      <c r="AN209" s="155"/>
    </row>
    <row r="210" spans="40:40" ht="14.25" customHeight="1">
      <c r="AN210" s="155"/>
    </row>
    <row r="211" spans="40:40" ht="14.25" customHeight="1">
      <c r="AN211" s="155"/>
    </row>
    <row r="212" spans="40:40" ht="14.25" customHeight="1">
      <c r="AN212" s="155"/>
    </row>
    <row r="213" spans="40:40" ht="14.25" customHeight="1">
      <c r="AN213" s="155"/>
    </row>
    <row r="214" spans="40:40" ht="14.25" customHeight="1">
      <c r="AN214" s="155"/>
    </row>
    <row r="215" spans="40:40" ht="14.25" customHeight="1">
      <c r="AN215" s="155"/>
    </row>
    <row r="216" spans="40:40" ht="14.25" customHeight="1">
      <c r="AN216" s="155"/>
    </row>
    <row r="217" spans="40:40" ht="14.25" customHeight="1">
      <c r="AN217" s="155"/>
    </row>
    <row r="218" spans="40:40" ht="14.25" customHeight="1">
      <c r="AN218" s="155"/>
    </row>
    <row r="219" spans="40:40" ht="14.25" customHeight="1">
      <c r="AN219" s="155"/>
    </row>
    <row r="220" spans="40:40" ht="14.25" customHeight="1">
      <c r="AN220" s="155"/>
    </row>
    <row r="221" spans="40:40" ht="14.25" customHeight="1">
      <c r="AN221" s="155"/>
    </row>
    <row r="222" spans="40:40" ht="14.25" customHeight="1">
      <c r="AN222" s="155"/>
    </row>
    <row r="223" spans="40:40" ht="14.25" customHeight="1">
      <c r="AN223" s="155"/>
    </row>
    <row r="224" spans="40:40" ht="14.25" customHeight="1">
      <c r="AN224" s="155"/>
    </row>
    <row r="225" spans="40:40" ht="14.25" customHeight="1">
      <c r="AN225" s="155"/>
    </row>
    <row r="226" spans="40:40" ht="14.25" customHeight="1">
      <c r="AN226" s="155"/>
    </row>
    <row r="227" spans="40:40" ht="14.25" customHeight="1">
      <c r="AN227" s="155"/>
    </row>
    <row r="228" spans="40:40" ht="14.25" customHeight="1">
      <c r="AN228" s="155"/>
    </row>
    <row r="229" spans="40:40" ht="14.25" customHeight="1">
      <c r="AN229" s="155"/>
    </row>
    <row r="230" spans="40:40" ht="14.25" customHeight="1">
      <c r="AN230" s="155"/>
    </row>
    <row r="231" spans="40:40" ht="14.25" customHeight="1">
      <c r="AN231" s="155"/>
    </row>
    <row r="232" spans="40:40" ht="14.25" customHeight="1">
      <c r="AN232" s="155"/>
    </row>
    <row r="233" spans="40:40" ht="14.25" customHeight="1">
      <c r="AN233" s="155"/>
    </row>
    <row r="234" spans="40:40" ht="14.25" customHeight="1">
      <c r="AN234" s="155"/>
    </row>
    <row r="235" spans="40:40" ht="14.25" customHeight="1">
      <c r="AN235" s="155"/>
    </row>
    <row r="236" spans="40:40" ht="14.25" customHeight="1">
      <c r="AN236" s="155"/>
    </row>
    <row r="237" spans="40:40" ht="14.25" customHeight="1">
      <c r="AN237" s="155"/>
    </row>
    <row r="238" spans="40:40" ht="14.25" customHeight="1">
      <c r="AN238" s="155"/>
    </row>
    <row r="239" spans="40:40" ht="14.25" customHeight="1">
      <c r="AN239" s="155"/>
    </row>
    <row r="240" spans="40:40" ht="14.25" customHeight="1">
      <c r="AN240" s="155"/>
    </row>
    <row r="241" spans="40:40" ht="14.25" customHeight="1">
      <c r="AN241" s="155"/>
    </row>
    <row r="242" spans="40:40" ht="14.25" customHeight="1">
      <c r="AN242" s="155"/>
    </row>
    <row r="243" spans="40:40" ht="14.25" customHeight="1">
      <c r="AN243" s="155"/>
    </row>
    <row r="244" spans="40:40" ht="14.25" customHeight="1">
      <c r="AN244" s="155"/>
    </row>
    <row r="245" spans="40:40" ht="14.25" customHeight="1">
      <c r="AN245" s="155"/>
    </row>
    <row r="246" spans="40:40" ht="14.25" customHeight="1">
      <c r="AN246" s="155"/>
    </row>
    <row r="247" spans="40:40" ht="14.25" customHeight="1">
      <c r="AN247" s="155"/>
    </row>
    <row r="248" spans="40:40" ht="14.25" customHeight="1">
      <c r="AN248" s="155"/>
    </row>
    <row r="249" spans="40:40" ht="14.25" customHeight="1">
      <c r="AN249" s="155"/>
    </row>
    <row r="250" spans="40:40" ht="14.25" customHeight="1">
      <c r="AN250" s="155"/>
    </row>
    <row r="251" spans="40:40" ht="14.25" customHeight="1">
      <c r="AN251" s="155"/>
    </row>
    <row r="252" spans="40:40" ht="14.25" customHeight="1">
      <c r="AN252" s="155"/>
    </row>
    <row r="253" spans="40:40" ht="14.25" customHeight="1">
      <c r="AN253" s="155"/>
    </row>
    <row r="254" spans="40:40" ht="14.25" customHeight="1">
      <c r="AN254" s="155"/>
    </row>
    <row r="255" spans="40:40" ht="14.25" customHeight="1">
      <c r="AN255" s="155"/>
    </row>
    <row r="256" spans="40:40" ht="14.25" customHeight="1">
      <c r="AN256" s="155"/>
    </row>
    <row r="257" spans="40:40" ht="14.25" customHeight="1">
      <c r="AN257" s="155"/>
    </row>
    <row r="258" spans="40:40" ht="14.25" customHeight="1">
      <c r="AN258" s="155"/>
    </row>
    <row r="259" spans="40:40" ht="14.25" customHeight="1">
      <c r="AN259" s="155"/>
    </row>
    <row r="260" spans="40:40" ht="14.25" customHeight="1">
      <c r="AN260" s="155"/>
    </row>
    <row r="261" spans="40:40" ht="14.25" customHeight="1">
      <c r="AN261" s="155"/>
    </row>
    <row r="262" spans="40:40" ht="14.25" customHeight="1">
      <c r="AN262" s="155"/>
    </row>
    <row r="263" spans="40:40" ht="14.25" customHeight="1">
      <c r="AN263" s="155"/>
    </row>
    <row r="264" spans="40:40" ht="14.25" customHeight="1">
      <c r="AN264" s="155"/>
    </row>
    <row r="265" spans="40:40" ht="14.25" customHeight="1">
      <c r="AN265" s="155"/>
    </row>
    <row r="266" spans="40:40" ht="14.25" customHeight="1">
      <c r="AN266" s="155"/>
    </row>
    <row r="267" spans="40:40" ht="14.25" customHeight="1">
      <c r="AN267" s="155"/>
    </row>
    <row r="268" spans="40:40" ht="14.25" customHeight="1">
      <c r="AN268" s="155"/>
    </row>
    <row r="269" spans="40:40" ht="14.25" customHeight="1">
      <c r="AN269" s="155"/>
    </row>
    <row r="270" spans="40:40" ht="14.25" customHeight="1">
      <c r="AN270" s="155"/>
    </row>
    <row r="271" spans="40:40" ht="14.25" customHeight="1">
      <c r="AN271" s="155"/>
    </row>
    <row r="272" spans="40:40" ht="14.25" customHeight="1">
      <c r="AN272" s="155"/>
    </row>
    <row r="273" spans="1:40" ht="14.25" customHeight="1">
      <c r="AN273" s="155"/>
    </row>
    <row r="274" spans="1:40" ht="14.25" customHeight="1">
      <c r="AN274" s="155"/>
    </row>
    <row r="275" spans="1:40" ht="14.25" customHeight="1">
      <c r="AN275" s="155"/>
    </row>
    <row r="276" spans="1:40" ht="14.25" customHeight="1">
      <c r="AN276" s="155"/>
    </row>
    <row r="277" spans="1:40" ht="14.25" customHeight="1">
      <c r="AN277" s="155"/>
    </row>
    <row r="278" spans="1:40" ht="14.25" customHeight="1">
      <c r="AN278" s="155"/>
    </row>
    <row r="279" spans="1:40" ht="14.25" customHeight="1">
      <c r="AN279" s="155"/>
    </row>
    <row r="280" spans="1:40" ht="14.25" customHeight="1">
      <c r="A280" s="125"/>
      <c r="B280" s="126"/>
      <c r="C280" s="114"/>
      <c r="AN280" s="155"/>
    </row>
    <row r="281" spans="1:40" ht="14.25" customHeight="1">
      <c r="AN281" s="155"/>
    </row>
    <row r="282" spans="1:40" ht="14.25" customHeight="1">
      <c r="AN282" s="155"/>
    </row>
    <row r="283" spans="1:40" ht="14.25" customHeight="1">
      <c r="AN283" s="155"/>
    </row>
    <row r="284" spans="1:40" ht="14.25" customHeight="1">
      <c r="AN284" s="155"/>
    </row>
    <row r="285" spans="1:40" ht="14.25" customHeight="1">
      <c r="AN285" s="155"/>
    </row>
    <row r="286" spans="1:40" ht="14.25" customHeight="1">
      <c r="AN286" s="155"/>
    </row>
    <row r="287" spans="1:40" ht="14.25" customHeight="1">
      <c r="AN287" s="155"/>
    </row>
    <row r="288" spans="1:40" ht="14.25" customHeight="1">
      <c r="AN288" s="155"/>
    </row>
    <row r="289" spans="40:40" ht="14.25" customHeight="1">
      <c r="AN289" s="155"/>
    </row>
    <row r="290" spans="40:40" ht="14.25" customHeight="1">
      <c r="AN290" s="155"/>
    </row>
    <row r="291" spans="40:40" ht="14.25" customHeight="1">
      <c r="AN291" s="155"/>
    </row>
    <row r="292" spans="40:40" ht="14.25" customHeight="1">
      <c r="AN292" s="155"/>
    </row>
    <row r="293" spans="40:40" ht="14.25" customHeight="1">
      <c r="AN293" s="155"/>
    </row>
    <row r="294" spans="40:40" ht="14.25" customHeight="1">
      <c r="AN294" s="155"/>
    </row>
    <row r="295" spans="40:40" ht="14.25" customHeight="1">
      <c r="AN295" s="155"/>
    </row>
    <row r="296" spans="40:40" ht="14.25" customHeight="1">
      <c r="AN296" s="155"/>
    </row>
    <row r="297" spans="40:40" ht="14.25" customHeight="1">
      <c r="AN297" s="155"/>
    </row>
    <row r="298" spans="40:40" ht="14.25" customHeight="1">
      <c r="AN298" s="155"/>
    </row>
    <row r="299" spans="40:40" ht="14.25" customHeight="1">
      <c r="AN299" s="155"/>
    </row>
    <row r="300" spans="40:40" ht="14.25" customHeight="1">
      <c r="AN300" s="155"/>
    </row>
    <row r="301" spans="40:40" ht="14.25" customHeight="1">
      <c r="AN301" s="155"/>
    </row>
    <row r="302" spans="40:40" ht="14.25" customHeight="1">
      <c r="AN302" s="155"/>
    </row>
    <row r="303" spans="40:40" ht="14.25" customHeight="1">
      <c r="AN303" s="155"/>
    </row>
    <row r="304" spans="40:40" ht="14.25" customHeight="1">
      <c r="AN304" s="155"/>
    </row>
    <row r="305" spans="1:40" ht="14.25" customHeight="1">
      <c r="AN305" s="155"/>
    </row>
    <row r="306" spans="1:40" ht="14.25" customHeight="1">
      <c r="AN306" s="155"/>
    </row>
    <row r="307" spans="1:40" ht="14.25" customHeight="1">
      <c r="AN307" s="155"/>
    </row>
    <row r="308" spans="1:40" ht="14.25" customHeight="1">
      <c r="AN308" s="155"/>
    </row>
    <row r="309" spans="1:40" ht="14.25" customHeight="1">
      <c r="AN309" s="155"/>
    </row>
    <row r="310" spans="1:40" ht="14.25" customHeight="1">
      <c r="F310" s="117"/>
      <c r="AN310" s="155"/>
    </row>
    <row r="311" spans="1:40" ht="14.25" customHeight="1">
      <c r="A311" s="125"/>
      <c r="B311" s="126"/>
      <c r="C311" s="114"/>
      <c r="D311" s="114"/>
      <c r="AN311" s="155"/>
    </row>
    <row r="312" spans="1:40" ht="14.25" customHeight="1">
      <c r="AN312" s="155"/>
    </row>
    <row r="313" spans="1:40" ht="14.25" customHeight="1">
      <c r="AN313" s="155"/>
    </row>
    <row r="314" spans="1:40" ht="14.25" customHeight="1">
      <c r="AN314" s="155"/>
    </row>
    <row r="315" spans="1:40" ht="14.25" customHeight="1">
      <c r="AN315" s="155"/>
    </row>
    <row r="316" spans="1:40" ht="14.25" customHeight="1">
      <c r="AN316" s="155"/>
    </row>
    <row r="317" spans="1:40" ht="14.25" customHeight="1">
      <c r="AN317" s="155"/>
    </row>
    <row r="318" spans="1:40" ht="14.25" customHeight="1">
      <c r="AN318" s="155"/>
    </row>
    <row r="319" spans="1:40" ht="14.25" customHeight="1">
      <c r="AN319" s="155"/>
    </row>
    <row r="320" spans="1:40" ht="14.25" customHeight="1">
      <c r="AN320" s="155"/>
    </row>
    <row r="321" spans="40:40" ht="14.25" customHeight="1">
      <c r="AN321" s="155"/>
    </row>
    <row r="322" spans="40:40" ht="14.25" customHeight="1">
      <c r="AN322" s="155"/>
    </row>
    <row r="323" spans="40:40" ht="14.25" customHeight="1">
      <c r="AN323" s="155"/>
    </row>
    <row r="324" spans="40:40" ht="14.25" customHeight="1">
      <c r="AN324" s="155"/>
    </row>
    <row r="325" spans="40:40" ht="14.25" customHeight="1">
      <c r="AN325" s="155"/>
    </row>
    <row r="326" spans="40:40" ht="14.25" customHeight="1">
      <c r="AN326" s="155"/>
    </row>
    <row r="327" spans="40:40" ht="14.25" customHeight="1">
      <c r="AN327" s="155"/>
    </row>
    <row r="328" spans="40:40" ht="14.25" customHeight="1">
      <c r="AN328" s="155"/>
    </row>
    <row r="329" spans="40:40" ht="14.25" customHeight="1">
      <c r="AN329" s="155"/>
    </row>
    <row r="330" spans="40:40" ht="14.25" customHeight="1">
      <c r="AN330" s="155"/>
    </row>
    <row r="331" spans="40:40" ht="14.25" customHeight="1">
      <c r="AN331" s="155"/>
    </row>
    <row r="332" spans="40:40" ht="14.25" customHeight="1">
      <c r="AN332" s="155"/>
    </row>
    <row r="333" spans="40:40" ht="14.25" customHeight="1">
      <c r="AN333" s="155"/>
    </row>
    <row r="334" spans="40:40" ht="14.25" customHeight="1">
      <c r="AN334" s="155"/>
    </row>
    <row r="335" spans="40:40" ht="14.25" customHeight="1">
      <c r="AN335" s="155"/>
    </row>
    <row r="336" spans="40:40" ht="14.25" customHeight="1">
      <c r="AN336" s="155"/>
    </row>
    <row r="337" spans="1:40" ht="14.25" customHeight="1">
      <c r="AN337" s="155"/>
    </row>
    <row r="338" spans="1:40" ht="14.25" customHeight="1">
      <c r="AN338" s="155"/>
    </row>
    <row r="339" spans="1:40" ht="14.25" customHeight="1">
      <c r="AN339" s="155"/>
    </row>
    <row r="340" spans="1:40" ht="14.25" customHeight="1">
      <c r="A340" s="29"/>
      <c r="B340" s="30"/>
      <c r="AN340" s="155"/>
    </row>
    <row r="341" spans="1:40" ht="14.25" customHeight="1">
      <c r="A341" s="29"/>
      <c r="B341" s="30"/>
      <c r="AN341" s="155"/>
    </row>
    <row r="342" spans="1:40" ht="14.25" customHeight="1">
      <c r="AN342" s="155"/>
    </row>
    <row r="343" spans="1:40" ht="14.25" customHeight="1">
      <c r="AN343" s="155"/>
    </row>
    <row r="344" spans="1:40" ht="14.25" customHeight="1">
      <c r="AN344" s="155"/>
    </row>
    <row r="345" spans="1:40" ht="14.25" customHeight="1">
      <c r="AN345" s="155"/>
    </row>
    <row r="346" spans="1:40" ht="14.25" customHeight="1">
      <c r="AN346" s="155"/>
    </row>
    <row r="347" spans="1:40" ht="14.25" customHeight="1">
      <c r="AN347" s="155"/>
    </row>
    <row r="348" spans="1:40" ht="14.25" customHeight="1">
      <c r="AN348" s="155"/>
    </row>
    <row r="349" spans="1:40" ht="14.25" customHeight="1">
      <c r="AN349" s="155"/>
    </row>
    <row r="350" spans="1:40" ht="14.25" customHeight="1">
      <c r="AN350" s="155"/>
    </row>
    <row r="351" spans="1:40" ht="14.25" customHeight="1">
      <c r="AN351" s="155"/>
    </row>
    <row r="352" spans="1:40" ht="14.25" customHeight="1">
      <c r="AN352" s="155"/>
    </row>
    <row r="353" spans="40:40" ht="14.25" customHeight="1">
      <c r="AN353" s="155"/>
    </row>
    <row r="354" spans="40:40" ht="14.25" customHeight="1">
      <c r="AN354" s="155" t="str">
        <f>IF(A354&lt;&gt;"",J354/VLOOKUP(LEFT(G354,6),List!$P$2:$Q$14,2,0),"")</f>
        <v/>
      </c>
    </row>
    <row r="355" spans="40:40" ht="14.25" customHeight="1">
      <c r="AN355" s="155"/>
    </row>
    <row r="356" spans="40:40" ht="14.25" customHeight="1">
      <c r="AN356" s="155"/>
    </row>
    <row r="357" spans="40:40" ht="14.25" customHeight="1">
      <c r="AN357" s="155"/>
    </row>
    <row r="358" spans="40:40" ht="14.25" customHeight="1">
      <c r="AN358" s="155"/>
    </row>
    <row r="359" spans="40:40" ht="14.25" customHeight="1">
      <c r="AN359" s="155"/>
    </row>
    <row r="360" spans="40:40" ht="14.25" customHeight="1">
      <c r="AN360" s="155"/>
    </row>
    <row r="361" spans="40:40" ht="14.25" customHeight="1"/>
    <row r="362" spans="40:40" ht="14.25" customHeight="1"/>
    <row r="363" spans="40:40" ht="14.25" customHeight="1"/>
    <row r="364" spans="40:40" ht="14.25" customHeight="1"/>
    <row r="365" spans="40:40" ht="14.25" customHeight="1"/>
    <row r="366" spans="40:40" ht="14.25" customHeight="1"/>
    <row r="367" spans="40:40" ht="14.25" customHeight="1"/>
    <row r="368" spans="40:40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spans="1:6" ht="14.25" customHeight="1"/>
    <row r="386" spans="1:6" ht="14.25" customHeight="1"/>
    <row r="387" spans="1:6" ht="14.25" customHeight="1"/>
    <row r="388" spans="1:6" ht="14.25" customHeight="1"/>
    <row r="389" spans="1:6" ht="14.25" customHeight="1"/>
    <row r="390" spans="1:6" ht="14.25" customHeight="1"/>
    <row r="391" spans="1:6" ht="14.25" customHeight="1">
      <c r="A391" s="29"/>
      <c r="B391" s="30"/>
    </row>
    <row r="392" spans="1:6" ht="14.25" customHeight="1">
      <c r="A392" s="29"/>
      <c r="B392" s="30"/>
    </row>
    <row r="393" spans="1:6" ht="14.25" customHeight="1">
      <c r="A393" s="29"/>
      <c r="B393" s="30"/>
      <c r="F393" s="118"/>
    </row>
    <row r="394" spans="1:6" ht="14.25" customHeight="1">
      <c r="A394" s="29"/>
      <c r="B394" s="30"/>
    </row>
    <row r="395" spans="1:6" ht="14.25" customHeight="1">
      <c r="A395" s="29"/>
      <c r="B395" s="30"/>
    </row>
    <row r="396" spans="1:6" ht="14.25" customHeight="1">
      <c r="A396" s="29"/>
      <c r="B396" s="30"/>
    </row>
    <row r="397" spans="1:6" ht="14.25" customHeight="1">
      <c r="A397" s="29"/>
      <c r="B397" s="30"/>
    </row>
    <row r="398" spans="1:6" ht="14.25" customHeight="1">
      <c r="A398" s="29"/>
      <c r="B398" s="30"/>
    </row>
    <row r="399" spans="1:6" ht="14.25" customHeight="1">
      <c r="A399" s="29"/>
      <c r="B399" s="30"/>
    </row>
    <row r="400" spans="1:6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spans="1:2" ht="14.25" customHeight="1"/>
    <row r="418" spans="1:2" ht="14.25" customHeight="1"/>
    <row r="419" spans="1:2" ht="14.25" customHeight="1"/>
    <row r="420" spans="1:2" ht="14.25" customHeight="1">
      <c r="A420" s="29"/>
      <c r="B420" s="30"/>
    </row>
    <row r="421" spans="1:2" ht="14.25" customHeight="1">
      <c r="A421" s="29"/>
      <c r="B421" s="30"/>
    </row>
    <row r="422" spans="1:2" ht="14.25" customHeight="1">
      <c r="A422" s="29"/>
      <c r="B422" s="30"/>
    </row>
    <row r="423" spans="1:2" ht="14.25" customHeight="1"/>
    <row r="424" spans="1:2" ht="14.25" customHeight="1"/>
    <row r="425" spans="1:2" ht="14.25" customHeight="1"/>
    <row r="426" spans="1:2" ht="14.25" customHeight="1"/>
    <row r="427" spans="1:2" ht="14.25" customHeight="1"/>
    <row r="428" spans="1:2" ht="14.25" customHeight="1"/>
    <row r="429" spans="1:2" ht="14.25" customHeight="1"/>
    <row r="430" spans="1:2" ht="14.25" customHeight="1"/>
    <row r="431" spans="1:2" ht="14.25" customHeight="1"/>
    <row r="432" spans="1: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spans="1:33" ht="14.25" customHeight="1"/>
    <row r="450" spans="1:33" ht="14.25" customHeight="1">
      <c r="A450" s="29"/>
      <c r="B450" s="30"/>
      <c r="AG450" s="30"/>
    </row>
    <row r="451" spans="1:33" ht="14.25" customHeight="1">
      <c r="A451" s="29"/>
      <c r="B451" s="30"/>
    </row>
    <row r="452" spans="1:33" ht="14.25" customHeight="1">
      <c r="A452" s="29"/>
      <c r="B452" s="30"/>
    </row>
    <row r="453" spans="1:33" ht="14.25" customHeight="1">
      <c r="A453" s="29"/>
      <c r="B453" s="30"/>
      <c r="AG453" s="30"/>
    </row>
    <row r="454" spans="1:33" ht="14.25" customHeight="1">
      <c r="A454" s="29"/>
      <c r="B454" s="30"/>
    </row>
    <row r="455" spans="1:33" ht="14.25" customHeight="1">
      <c r="A455" s="29"/>
      <c r="B455" s="30"/>
    </row>
    <row r="456" spans="1:33" ht="14.25" customHeight="1">
      <c r="A456" s="29"/>
      <c r="B456" s="30"/>
    </row>
    <row r="457" spans="1:33" ht="14.25" customHeight="1">
      <c r="A457" s="29"/>
      <c r="B457" s="30"/>
    </row>
    <row r="458" spans="1:33" ht="14.25" customHeight="1">
      <c r="A458" s="29"/>
      <c r="B458" s="30"/>
      <c r="AG458" s="30"/>
    </row>
    <row r="459" spans="1:33" ht="14.25" customHeight="1">
      <c r="A459" s="29"/>
      <c r="B459" s="30"/>
    </row>
    <row r="460" spans="1:33" ht="14.25" customHeight="1">
      <c r="A460" s="29"/>
      <c r="B460" s="30"/>
    </row>
    <row r="461" spans="1:33" ht="14.25" customHeight="1">
      <c r="A461" s="29"/>
      <c r="B461" s="30"/>
    </row>
    <row r="462" spans="1:33" ht="14.25" customHeight="1">
      <c r="A462" s="29"/>
      <c r="B462" s="30"/>
    </row>
    <row r="463" spans="1:33" ht="14.25" customHeight="1">
      <c r="A463" s="29"/>
      <c r="B463" s="30"/>
      <c r="AG463" s="30"/>
    </row>
    <row r="464" spans="1:33" ht="14.25" customHeight="1">
      <c r="A464" s="29"/>
      <c r="B464" s="30"/>
    </row>
    <row r="465" spans="1:33" ht="14.25" customHeight="1">
      <c r="A465" s="29"/>
      <c r="B465" s="30"/>
      <c r="AG465" s="30"/>
    </row>
    <row r="466" spans="1:33" ht="14.25" customHeight="1">
      <c r="A466" s="29"/>
      <c r="B466" s="30"/>
    </row>
    <row r="467" spans="1:33" ht="14.25" customHeight="1">
      <c r="A467" s="29"/>
      <c r="B467" s="30"/>
    </row>
    <row r="468" spans="1:33" ht="14.25" customHeight="1">
      <c r="A468" s="29"/>
      <c r="B468" s="30"/>
    </row>
    <row r="469" spans="1:33" ht="14.25" customHeight="1">
      <c r="A469" s="29"/>
      <c r="B469" s="30"/>
    </row>
    <row r="470" spans="1:33" ht="14.25" customHeight="1">
      <c r="A470" s="29"/>
      <c r="B470" s="30"/>
    </row>
    <row r="471" spans="1:33" ht="14.25" customHeight="1">
      <c r="A471" s="29"/>
      <c r="B471" s="30"/>
    </row>
    <row r="472" spans="1:33" ht="14.25" customHeight="1">
      <c r="A472" s="29"/>
      <c r="B472" s="30"/>
    </row>
    <row r="473" spans="1:33" ht="14.25" customHeight="1">
      <c r="A473" s="29"/>
      <c r="B473" s="30"/>
      <c r="AG473" s="30"/>
    </row>
    <row r="474" spans="1:33" ht="14.25" customHeight="1">
      <c r="A474" s="29"/>
      <c r="B474" s="30"/>
      <c r="AG474" s="30"/>
    </row>
    <row r="475" spans="1:33" ht="14.25" customHeight="1">
      <c r="A475" s="29"/>
      <c r="B475" s="30"/>
      <c r="AG475" s="30"/>
    </row>
    <row r="476" spans="1:33" ht="14.25" customHeight="1">
      <c r="A476" s="29"/>
      <c r="B476" s="30"/>
      <c r="AG476" s="30"/>
    </row>
    <row r="477" spans="1:33" ht="14.25" customHeight="1">
      <c r="A477" s="29"/>
      <c r="B477" s="30"/>
      <c r="AG477" s="30"/>
    </row>
    <row r="478" spans="1:33" ht="14.25" customHeight="1">
      <c r="A478" s="29"/>
      <c r="B478" s="30"/>
    </row>
    <row r="479" spans="1:33" ht="14.25" customHeight="1">
      <c r="A479" s="29"/>
      <c r="B479" s="30"/>
      <c r="AG479" s="30"/>
    </row>
    <row r="480" spans="1:33" ht="14.25" customHeight="1">
      <c r="A480" s="29"/>
      <c r="B480" s="30"/>
    </row>
    <row r="481" spans="1:33" ht="14.25" customHeight="1">
      <c r="A481" s="29"/>
      <c r="B481" s="30"/>
      <c r="AG481" s="30"/>
    </row>
    <row r="482" spans="1:33" ht="14.25" customHeight="1"/>
    <row r="483" spans="1:33" ht="14.25" customHeight="1"/>
    <row r="484" spans="1:33" ht="14.25" customHeight="1"/>
    <row r="485" spans="1:33" ht="14.25" customHeight="1"/>
    <row r="486" spans="1:33" ht="14.25" customHeight="1"/>
    <row r="487" spans="1:33" ht="14.25" customHeight="1"/>
    <row r="488" spans="1:33" ht="14.25" customHeight="1"/>
    <row r="489" spans="1:33" ht="14.25" customHeight="1"/>
    <row r="490" spans="1:33" ht="14.25" customHeight="1"/>
    <row r="491" spans="1:33" ht="14.25" customHeight="1"/>
    <row r="492" spans="1:33" ht="14.25" customHeight="1"/>
    <row r="493" spans="1:33" ht="14.25" customHeight="1"/>
    <row r="494" spans="1:33" ht="14.25" customHeight="1"/>
    <row r="495" spans="1:33" ht="14.25" customHeight="1"/>
    <row r="496" spans="1:33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  <row r="1001" ht="14.25" customHeight="1"/>
    <row r="1002" ht="14.25" customHeight="1"/>
    <row r="1003" ht="14.25" customHeight="1"/>
    <row r="1004" ht="14.25" customHeight="1"/>
    <row r="1005" ht="14.25" customHeight="1"/>
    <row r="1006" ht="14.25" customHeight="1"/>
    <row r="1007" ht="14.25" customHeight="1"/>
    <row r="1008" ht="14.25" customHeight="1"/>
    <row r="1009" ht="14.25" customHeight="1"/>
    <row r="1010" ht="14.25" customHeight="1"/>
    <row r="1011" ht="14.25" customHeight="1"/>
    <row r="1012" ht="14.25" customHeight="1"/>
    <row r="1013" ht="14.25" customHeight="1"/>
    <row r="1014" ht="14.25" customHeight="1"/>
    <row r="1015" ht="14.25" customHeight="1"/>
    <row r="1016" ht="14.25" customHeight="1"/>
    <row r="1017" ht="14.25" customHeight="1"/>
    <row r="1018" ht="14.25" customHeight="1"/>
    <row r="1019" ht="14.25" customHeight="1"/>
    <row r="1020" ht="14.25" customHeight="1"/>
    <row r="1021" ht="14.25" customHeight="1"/>
    <row r="1022" ht="14.25" customHeight="1"/>
    <row r="1023" ht="14.25" customHeight="1"/>
    <row r="1024" ht="14.25" customHeight="1"/>
    <row r="1025" ht="14.25" customHeight="1"/>
    <row r="1026" ht="14.25" customHeight="1"/>
    <row r="1027" ht="14.25" customHeight="1"/>
    <row r="1028" ht="14.25" customHeight="1"/>
    <row r="1029" ht="14.25" customHeight="1"/>
    <row r="1030" ht="14.25" customHeight="1"/>
    <row r="1031" ht="14.25" customHeight="1"/>
    <row r="1032" ht="14.25" customHeight="1"/>
    <row r="1033" ht="14.25" customHeight="1"/>
    <row r="1034" ht="14.25" customHeight="1"/>
    <row r="1035" ht="14.25" customHeight="1"/>
    <row r="1036" ht="14.25" customHeight="1"/>
    <row r="1037" ht="14.25" customHeight="1"/>
    <row r="1038" ht="14.25" customHeight="1"/>
    <row r="1039" ht="14.25" customHeight="1"/>
    <row r="1040" ht="14.25" customHeight="1"/>
  </sheetData>
  <mergeCells count="1">
    <mergeCell ref="A1:R1"/>
  </mergeCells>
  <phoneticPr fontId="42" type="noConversion"/>
  <conditionalFormatting sqref="F393">
    <cfRule type="duplicateValues" dxfId="1" priority="2"/>
  </conditionalFormatting>
  <conditionalFormatting sqref="F393">
    <cfRule type="duplicateValues" dxfId="0" priority="1"/>
  </conditionalFormatting>
  <pageMargins left="0.7" right="0.7" top="0.75" bottom="0.75" header="0.3" footer="0.3"/>
  <pageSetup scale="2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5A83D-0266-483A-BA98-AD80F01138A2}">
  <sheetPr codeName="Sheet6">
    <tabColor theme="9"/>
  </sheetPr>
  <dimension ref="C1:J21"/>
  <sheetViews>
    <sheetView zoomScale="145" zoomScaleNormal="145" workbookViewId="0">
      <selection activeCell="E15" sqref="E15"/>
    </sheetView>
  </sheetViews>
  <sheetFormatPr defaultRowHeight="15"/>
  <cols>
    <col min="5" max="5" width="12.140625" customWidth="1"/>
    <col min="6" max="6" width="16.5703125" customWidth="1"/>
    <col min="7" max="7" width="20.85546875" customWidth="1"/>
    <col min="8" max="8" width="9.85546875" customWidth="1"/>
  </cols>
  <sheetData>
    <row r="1" spans="3:10">
      <c r="C1" s="130"/>
      <c r="D1" s="131"/>
      <c r="E1" s="394" t="s">
        <v>630</v>
      </c>
      <c r="F1" s="395"/>
      <c r="G1" s="395"/>
      <c r="H1" s="396"/>
      <c r="I1" s="131"/>
      <c r="J1" s="132"/>
    </row>
    <row r="2" spans="3:10" ht="15.75" thickBot="1">
      <c r="C2" s="133"/>
      <c r="E2" s="397"/>
      <c r="F2" s="398"/>
      <c r="G2" s="398"/>
      <c r="H2" s="399"/>
      <c r="J2" s="134"/>
    </row>
    <row r="3" spans="3:10">
      <c r="C3" s="133"/>
      <c r="J3" s="134"/>
    </row>
    <row r="4" spans="3:10" ht="15.75" thickBot="1">
      <c r="C4" s="133"/>
      <c r="J4" s="134"/>
    </row>
    <row r="5" spans="3:10" ht="15.75" thickBot="1">
      <c r="C5" s="133"/>
      <c r="E5" s="406" t="s">
        <v>631</v>
      </c>
      <c r="F5" s="407"/>
      <c r="G5" s="407"/>
      <c r="H5" s="408"/>
      <c r="J5" s="134"/>
    </row>
    <row r="6" spans="3:10" ht="15.75" thickBot="1">
      <c r="C6" s="133"/>
      <c r="F6" s="128"/>
      <c r="J6" s="134"/>
    </row>
    <row r="7" spans="3:10" ht="15.75" thickBot="1">
      <c r="C7" s="409" t="s">
        <v>635</v>
      </c>
      <c r="D7" s="410"/>
      <c r="I7" s="411" t="s">
        <v>632</v>
      </c>
      <c r="J7" s="412"/>
    </row>
    <row r="8" spans="3:10" ht="15.75" thickBot="1">
      <c r="C8" s="133"/>
      <c r="F8" s="129" t="s">
        <v>636</v>
      </c>
      <c r="G8" s="129" t="s">
        <v>637</v>
      </c>
      <c r="J8" s="134"/>
    </row>
    <row r="9" spans="3:10">
      <c r="C9" s="133"/>
      <c r="J9" s="134"/>
    </row>
    <row r="10" spans="3:10" ht="15.75" thickBot="1">
      <c r="C10" s="133"/>
      <c r="J10" s="134"/>
    </row>
    <row r="11" spans="3:10">
      <c r="C11" s="133"/>
      <c r="F11" s="400" t="s">
        <v>638</v>
      </c>
      <c r="G11" s="401"/>
      <c r="J11" s="134"/>
    </row>
    <row r="12" spans="3:10" ht="15.75" thickBot="1">
      <c r="C12" s="133"/>
      <c r="F12" s="402"/>
      <c r="G12" s="403"/>
      <c r="J12" s="134"/>
    </row>
    <row r="13" spans="3:10">
      <c r="C13" s="133"/>
      <c r="J13" s="134"/>
    </row>
    <row r="14" spans="3:10" ht="15.75" thickBot="1">
      <c r="C14" s="133"/>
      <c r="J14" s="134"/>
    </row>
    <row r="15" spans="3:10">
      <c r="C15" s="133"/>
      <c r="F15" s="400" t="s">
        <v>633</v>
      </c>
      <c r="G15" s="401"/>
      <c r="J15" s="134"/>
    </row>
    <row r="16" spans="3:10" ht="15.75" thickBot="1">
      <c r="C16" s="133"/>
      <c r="F16" s="402"/>
      <c r="G16" s="403"/>
      <c r="J16" s="134"/>
    </row>
    <row r="17" spans="3:10">
      <c r="C17" s="133"/>
      <c r="J17" s="134"/>
    </row>
    <row r="18" spans="3:10" ht="15.75" thickBot="1">
      <c r="C18" s="133"/>
      <c r="J18" s="134"/>
    </row>
    <row r="19" spans="3:10">
      <c r="C19" s="133"/>
      <c r="D19" s="400" t="s">
        <v>634</v>
      </c>
      <c r="E19" s="404"/>
      <c r="F19" s="404"/>
      <c r="G19" s="404"/>
      <c r="H19" s="404"/>
      <c r="I19" s="401"/>
      <c r="J19" s="134"/>
    </row>
    <row r="20" spans="3:10" ht="15.75" thickBot="1">
      <c r="C20" s="133"/>
      <c r="D20" s="402"/>
      <c r="E20" s="405"/>
      <c r="F20" s="405"/>
      <c r="G20" s="405"/>
      <c r="H20" s="405"/>
      <c r="I20" s="403"/>
      <c r="J20" s="134"/>
    </row>
    <row r="21" spans="3:10">
      <c r="C21" s="135"/>
      <c r="D21" s="136"/>
      <c r="E21" s="136"/>
      <c r="F21" s="136"/>
      <c r="G21" s="136"/>
      <c r="H21" s="136"/>
      <c r="I21" s="136"/>
      <c r="J21" s="137"/>
    </row>
  </sheetData>
  <mergeCells count="7">
    <mergeCell ref="E1:H2"/>
    <mergeCell ref="F11:G12"/>
    <mergeCell ref="F15:G16"/>
    <mergeCell ref="D19:I20"/>
    <mergeCell ref="E5:H5"/>
    <mergeCell ref="C7:D7"/>
    <mergeCell ref="I7:J7"/>
  </mergeCells>
  <printOptions horizontalCentered="1" verticalCentered="1"/>
  <pageMargins left="0" right="0" top="0" bottom="0" header="0" footer="0"/>
  <pageSetup paperSize="9" scale="135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D48C2-420B-4BD8-A114-08A7491D41B3}">
  <sheetPr codeName="Sheet11">
    <tabColor theme="7"/>
  </sheetPr>
  <dimension ref="A1:AN978"/>
  <sheetViews>
    <sheetView zoomScale="87" zoomScaleNormal="87" workbookViewId="0">
      <pane ySplit="4" topLeftCell="A957" activePane="bottomLeft" state="frozen"/>
      <selection activeCell="C123" sqref="C123"/>
      <selection pane="bottomLeft" activeCell="K977" sqref="K977"/>
    </sheetView>
  </sheetViews>
  <sheetFormatPr defaultRowHeight="15"/>
  <cols>
    <col min="1" max="1" width="18.140625" style="146" bestFit="1" customWidth="1"/>
    <col min="2" max="2" width="16" style="146" customWidth="1"/>
    <col min="3" max="3" width="17.42578125" customWidth="1"/>
    <col min="4" max="4" width="21.5703125" bestFit="1" customWidth="1"/>
    <col min="5" max="5" width="21.85546875" customWidth="1"/>
    <col min="6" max="6" width="21" bestFit="1" customWidth="1"/>
    <col min="7" max="7" width="22.5703125" bestFit="1" customWidth="1"/>
    <col min="8" max="8" width="14.140625" customWidth="1"/>
    <col min="9" max="9" width="32.42578125" customWidth="1"/>
    <col min="10" max="10" width="17" customWidth="1"/>
    <col min="11" max="11" width="33.85546875" style="141" customWidth="1"/>
    <col min="12" max="12" width="22.7109375" customWidth="1"/>
    <col min="13" max="13" width="25.7109375" customWidth="1"/>
    <col min="14" max="14" width="12.140625" customWidth="1"/>
    <col min="15" max="15" width="17" customWidth="1"/>
    <col min="16" max="16" width="17.5703125" customWidth="1"/>
    <col min="17" max="17" width="23.140625" bestFit="1" customWidth="1"/>
    <col min="18" max="18" width="13" bestFit="1" customWidth="1"/>
    <col min="19" max="36" width="17.7109375" bestFit="1" customWidth="1"/>
    <col min="37" max="37" width="25.28515625" bestFit="1" customWidth="1"/>
    <col min="38" max="38" width="17.42578125" bestFit="1" customWidth="1"/>
    <col min="39" max="39" width="23.140625" bestFit="1" customWidth="1"/>
    <col min="40" max="40" width="10" style="152" bestFit="1" customWidth="1"/>
  </cols>
  <sheetData>
    <row r="1" spans="1:40" ht="34.5" thickBot="1">
      <c r="A1" s="413" t="s">
        <v>464</v>
      </c>
      <c r="B1" s="413"/>
      <c r="C1" s="413"/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3"/>
      <c r="P1" s="413"/>
      <c r="Q1" s="413"/>
      <c r="R1" s="413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154" t="s">
        <v>646</v>
      </c>
    </row>
    <row r="2" spans="1:40" ht="30">
      <c r="A2" s="143" t="s">
        <v>119</v>
      </c>
      <c r="B2" s="147" t="s">
        <v>120</v>
      </c>
      <c r="C2" s="7" t="s">
        <v>121</v>
      </c>
      <c r="D2" s="7" t="s">
        <v>122</v>
      </c>
      <c r="E2" s="7" t="s">
        <v>123</v>
      </c>
      <c r="F2" s="6" t="s">
        <v>124</v>
      </c>
      <c r="G2" s="8" t="s">
        <v>125</v>
      </c>
      <c r="H2" s="8" t="s">
        <v>126</v>
      </c>
      <c r="I2" s="8" t="s">
        <v>668</v>
      </c>
      <c r="J2" s="7" t="s">
        <v>128</v>
      </c>
      <c r="K2" s="138" t="s">
        <v>129</v>
      </c>
      <c r="L2" s="7" t="s">
        <v>130</v>
      </c>
      <c r="M2" s="7" t="s">
        <v>131</v>
      </c>
      <c r="N2" s="7" t="s">
        <v>132</v>
      </c>
      <c r="O2" s="8" t="s">
        <v>133</v>
      </c>
      <c r="P2" s="8" t="s">
        <v>134</v>
      </c>
      <c r="Q2" s="8" t="s">
        <v>135</v>
      </c>
      <c r="R2" s="8" t="s">
        <v>136</v>
      </c>
      <c r="S2" s="7" t="s">
        <v>137</v>
      </c>
      <c r="T2" s="7" t="s">
        <v>138</v>
      </c>
      <c r="U2" s="7" t="s">
        <v>139</v>
      </c>
      <c r="V2" s="7" t="s">
        <v>140</v>
      </c>
      <c r="W2" s="7" t="s">
        <v>141</v>
      </c>
      <c r="X2" s="9" t="s">
        <v>142</v>
      </c>
      <c r="Y2" s="7" t="s">
        <v>143</v>
      </c>
      <c r="Z2" s="10" t="s">
        <v>144</v>
      </c>
      <c r="AA2" s="11" t="s">
        <v>145</v>
      </c>
      <c r="AB2" s="10" t="s">
        <v>146</v>
      </c>
      <c r="AC2" s="10" t="s">
        <v>215</v>
      </c>
      <c r="AD2" s="10" t="s">
        <v>147</v>
      </c>
      <c r="AE2" s="10" t="s">
        <v>148</v>
      </c>
      <c r="AF2" s="10" t="s">
        <v>73</v>
      </c>
      <c r="AG2" s="11" t="s">
        <v>149</v>
      </c>
      <c r="AH2" s="11" t="s">
        <v>150</v>
      </c>
      <c r="AI2" s="11" t="s">
        <v>151</v>
      </c>
      <c r="AJ2" s="11" t="s">
        <v>152</v>
      </c>
      <c r="AK2" s="11" t="s">
        <v>56</v>
      </c>
      <c r="AL2" s="11" t="s">
        <v>153</v>
      </c>
      <c r="AM2" s="26" t="s">
        <v>7</v>
      </c>
      <c r="AN2" s="153" t="s">
        <v>421</v>
      </c>
    </row>
    <row r="3" spans="1:40" ht="15.75">
      <c r="A3" s="144" t="s">
        <v>154</v>
      </c>
      <c r="B3" s="148" t="s">
        <v>155</v>
      </c>
      <c r="C3" s="14" t="s">
        <v>156</v>
      </c>
      <c r="D3" s="14" t="s">
        <v>157</v>
      </c>
      <c r="E3" s="14" t="s">
        <v>158</v>
      </c>
      <c r="F3" s="13" t="s">
        <v>159</v>
      </c>
      <c r="G3" s="14" t="s">
        <v>160</v>
      </c>
      <c r="H3" s="14" t="s">
        <v>161</v>
      </c>
      <c r="I3" s="14" t="s">
        <v>162</v>
      </c>
      <c r="J3" s="14" t="s">
        <v>163</v>
      </c>
      <c r="K3" s="139" t="s">
        <v>164</v>
      </c>
      <c r="L3" s="14" t="s">
        <v>165</v>
      </c>
      <c r="M3" s="14" t="s">
        <v>166</v>
      </c>
      <c r="N3" s="15" t="s">
        <v>167</v>
      </c>
      <c r="O3" s="14" t="s">
        <v>168</v>
      </c>
      <c r="P3" s="14" t="s">
        <v>169</v>
      </c>
      <c r="Q3" s="14" t="s">
        <v>170</v>
      </c>
      <c r="R3" s="14" t="s">
        <v>171</v>
      </c>
      <c r="S3" s="16" t="s">
        <v>172</v>
      </c>
      <c r="T3" s="14" t="s">
        <v>173</v>
      </c>
      <c r="U3" s="14" t="s">
        <v>174</v>
      </c>
      <c r="V3" s="14" t="s">
        <v>175</v>
      </c>
      <c r="W3" s="14" t="s">
        <v>176</v>
      </c>
      <c r="X3" s="15" t="s">
        <v>177</v>
      </c>
      <c r="Y3" s="14" t="s">
        <v>178</v>
      </c>
      <c r="Z3" s="17"/>
      <c r="AA3" s="18"/>
      <c r="AB3" s="17"/>
      <c r="AC3" s="17"/>
      <c r="AD3" s="17"/>
      <c r="AE3" s="17"/>
      <c r="AF3" s="17"/>
      <c r="AG3" s="18"/>
      <c r="AH3" s="18"/>
      <c r="AI3" s="18"/>
      <c r="AJ3" s="18"/>
      <c r="AK3" s="18"/>
      <c r="AL3" s="18"/>
      <c r="AM3" s="27"/>
    </row>
    <row r="4" spans="1:40">
      <c r="A4" s="145" t="s">
        <v>179</v>
      </c>
      <c r="B4" s="149" t="s">
        <v>180</v>
      </c>
      <c r="C4" s="21" t="s">
        <v>181</v>
      </c>
      <c r="D4" s="21" t="s">
        <v>182</v>
      </c>
      <c r="E4" s="21" t="s">
        <v>183</v>
      </c>
      <c r="F4" s="20" t="s">
        <v>184</v>
      </c>
      <c r="G4" s="21" t="s">
        <v>185</v>
      </c>
      <c r="H4" s="21" t="s">
        <v>186</v>
      </c>
      <c r="I4" s="21" t="s">
        <v>187</v>
      </c>
      <c r="J4" s="21" t="s">
        <v>188</v>
      </c>
      <c r="K4" s="140" t="s">
        <v>189</v>
      </c>
      <c r="L4" s="21" t="s">
        <v>190</v>
      </c>
      <c r="M4" s="21" t="s">
        <v>191</v>
      </c>
      <c r="N4" s="21" t="s">
        <v>192</v>
      </c>
      <c r="O4" s="21" t="s">
        <v>193</v>
      </c>
      <c r="P4" s="21" t="s">
        <v>194</v>
      </c>
      <c r="Q4" s="21" t="s">
        <v>195</v>
      </c>
      <c r="R4" s="21" t="s">
        <v>136</v>
      </c>
      <c r="S4" s="21" t="s">
        <v>196</v>
      </c>
      <c r="T4" s="21" t="s">
        <v>197</v>
      </c>
      <c r="U4" s="21" t="s">
        <v>198</v>
      </c>
      <c r="V4" s="21" t="s">
        <v>199</v>
      </c>
      <c r="W4" s="21" t="s">
        <v>200</v>
      </c>
      <c r="X4" s="22" t="s">
        <v>201</v>
      </c>
      <c r="Y4" s="21" t="s">
        <v>202</v>
      </c>
      <c r="Z4" s="23" t="s">
        <v>203</v>
      </c>
      <c r="AA4" s="24" t="s">
        <v>193</v>
      </c>
      <c r="AB4" s="23" t="s">
        <v>204</v>
      </c>
      <c r="AC4" s="23"/>
      <c r="AD4" s="23"/>
      <c r="AE4" s="23"/>
      <c r="AF4" s="23"/>
      <c r="AG4" s="24" t="s">
        <v>18</v>
      </c>
      <c r="AH4" s="24" t="s">
        <v>18</v>
      </c>
      <c r="AI4" s="24" t="s">
        <v>19</v>
      </c>
      <c r="AJ4" s="24" t="s">
        <v>19</v>
      </c>
      <c r="AK4" s="24"/>
      <c r="AL4" s="24"/>
      <c r="AM4" s="28"/>
    </row>
    <row r="5" spans="1:40">
      <c r="A5" s="146">
        <v>46204.554189814815</v>
      </c>
      <c r="B5" s="146">
        <v>46204</v>
      </c>
      <c r="C5">
        <v>2241656</v>
      </c>
      <c r="D5" t="s">
        <v>409</v>
      </c>
      <c r="E5" t="s">
        <v>659</v>
      </c>
      <c r="F5" t="s">
        <v>650</v>
      </c>
      <c r="G5" t="s">
        <v>262</v>
      </c>
      <c r="H5" t="s">
        <v>641</v>
      </c>
      <c r="I5" t="s">
        <v>96</v>
      </c>
      <c r="J5">
        <v>1510</v>
      </c>
      <c r="K5" s="141">
        <v>30.350999999999999</v>
      </c>
      <c r="O5" t="s">
        <v>1224</v>
      </c>
      <c r="P5">
        <v>0</v>
      </c>
      <c r="Q5" t="s">
        <v>1224</v>
      </c>
      <c r="U5">
        <v>45</v>
      </c>
      <c r="W5" t="s">
        <v>958</v>
      </c>
      <c r="X5" t="s">
        <v>883</v>
      </c>
      <c r="Y5" t="s">
        <v>1228</v>
      </c>
      <c r="AA5" t="s">
        <v>647</v>
      </c>
      <c r="AB5">
        <v>0</v>
      </c>
      <c r="AK5" t="s">
        <v>642</v>
      </c>
      <c r="AL5" t="s">
        <v>59</v>
      </c>
    </row>
    <row r="6" spans="1:40">
      <c r="A6" s="146">
        <v>46204.563981481479</v>
      </c>
      <c r="B6" s="146">
        <v>46204</v>
      </c>
      <c r="C6">
        <v>2021645</v>
      </c>
      <c r="D6" t="s">
        <v>629</v>
      </c>
      <c r="E6" t="s">
        <v>659</v>
      </c>
      <c r="F6" t="s">
        <v>650</v>
      </c>
      <c r="G6" t="s">
        <v>230</v>
      </c>
      <c r="H6" t="s">
        <v>641</v>
      </c>
      <c r="I6" t="s">
        <v>87</v>
      </c>
      <c r="J6">
        <v>2200</v>
      </c>
      <c r="K6" s="141">
        <v>19.139999999999997</v>
      </c>
      <c r="O6" t="s">
        <v>1224</v>
      </c>
      <c r="P6">
        <v>0</v>
      </c>
      <c r="Q6" t="s">
        <v>1224</v>
      </c>
      <c r="U6">
        <v>70</v>
      </c>
      <c r="W6" t="s">
        <v>958</v>
      </c>
      <c r="X6" t="s">
        <v>883</v>
      </c>
      <c r="Y6" t="s">
        <v>1229</v>
      </c>
      <c r="AA6" t="s">
        <v>647</v>
      </c>
      <c r="AB6">
        <v>0</v>
      </c>
      <c r="AK6" t="s">
        <v>642</v>
      </c>
      <c r="AL6" t="s">
        <v>290</v>
      </c>
    </row>
    <row r="7" spans="1:40">
      <c r="A7" s="146">
        <v>46204.564953703702</v>
      </c>
      <c r="B7" s="146">
        <v>46204</v>
      </c>
      <c r="C7">
        <v>2021645</v>
      </c>
      <c r="D7" t="s">
        <v>629</v>
      </c>
      <c r="E7" t="s">
        <v>659</v>
      </c>
      <c r="F7" t="s">
        <v>650</v>
      </c>
      <c r="G7" t="s">
        <v>223</v>
      </c>
      <c r="H7" t="s">
        <v>641</v>
      </c>
      <c r="I7" t="s">
        <v>94</v>
      </c>
      <c r="J7">
        <v>1100</v>
      </c>
      <c r="K7" s="141">
        <v>38.39</v>
      </c>
      <c r="O7" t="s">
        <v>662</v>
      </c>
      <c r="P7">
        <v>0</v>
      </c>
      <c r="Q7" t="s">
        <v>662</v>
      </c>
      <c r="U7">
        <v>42</v>
      </c>
      <c r="W7" t="s">
        <v>958</v>
      </c>
      <c r="X7" t="s">
        <v>883</v>
      </c>
      <c r="Y7" t="s">
        <v>1230</v>
      </c>
      <c r="AA7" t="s">
        <v>647</v>
      </c>
      <c r="AB7">
        <v>0</v>
      </c>
      <c r="AK7" t="s">
        <v>642</v>
      </c>
      <c r="AL7" t="s">
        <v>290</v>
      </c>
    </row>
    <row r="8" spans="1:40">
      <c r="A8" s="146">
        <v>46204.883576388886</v>
      </c>
      <c r="B8" s="146">
        <v>46204</v>
      </c>
      <c r="C8">
        <v>2022158</v>
      </c>
      <c r="D8" t="s">
        <v>394</v>
      </c>
      <c r="E8" t="s">
        <v>643</v>
      </c>
      <c r="F8" t="s">
        <v>650</v>
      </c>
      <c r="G8" t="s">
        <v>481</v>
      </c>
      <c r="H8" t="s">
        <v>641</v>
      </c>
      <c r="I8" t="s">
        <v>1235</v>
      </c>
      <c r="J8">
        <v>420</v>
      </c>
      <c r="K8" s="141">
        <v>33.683999999999997</v>
      </c>
      <c r="O8" t="s">
        <v>1231</v>
      </c>
      <c r="P8">
        <v>0</v>
      </c>
      <c r="Q8" t="s">
        <v>1231</v>
      </c>
      <c r="U8">
        <v>13.5</v>
      </c>
      <c r="W8" t="s">
        <v>958</v>
      </c>
      <c r="X8" t="s">
        <v>883</v>
      </c>
      <c r="Y8" t="s">
        <v>1232</v>
      </c>
      <c r="AA8" t="s">
        <v>419</v>
      </c>
      <c r="AB8">
        <v>0</v>
      </c>
      <c r="AK8" t="s">
        <v>642</v>
      </c>
      <c r="AL8" t="s">
        <v>290</v>
      </c>
    </row>
    <row r="9" spans="1:40">
      <c r="A9" s="146">
        <v>46204.884293981479</v>
      </c>
      <c r="B9" s="146">
        <v>46204</v>
      </c>
      <c r="C9">
        <v>2022158</v>
      </c>
      <c r="D9" t="s">
        <v>394</v>
      </c>
      <c r="E9" t="s">
        <v>643</v>
      </c>
      <c r="F9" t="s">
        <v>650</v>
      </c>
      <c r="G9" t="s">
        <v>250</v>
      </c>
      <c r="H9" t="s">
        <v>641</v>
      </c>
      <c r="I9" t="s">
        <v>1236</v>
      </c>
      <c r="J9">
        <v>1060</v>
      </c>
      <c r="K9" s="141">
        <v>206.31199999999998</v>
      </c>
      <c r="O9" t="s">
        <v>1231</v>
      </c>
      <c r="P9">
        <v>0</v>
      </c>
      <c r="Q9" t="s">
        <v>1231</v>
      </c>
      <c r="U9">
        <v>10</v>
      </c>
      <c r="W9" t="s">
        <v>958</v>
      </c>
      <c r="X9" t="s">
        <v>883</v>
      </c>
      <c r="Y9" t="s">
        <v>1233</v>
      </c>
      <c r="AA9" t="s">
        <v>419</v>
      </c>
      <c r="AB9">
        <v>0</v>
      </c>
      <c r="AK9" t="s">
        <v>642</v>
      </c>
      <c r="AL9" t="s">
        <v>290</v>
      </c>
    </row>
    <row r="10" spans="1:40">
      <c r="A10" s="146">
        <v>46204.884988425925</v>
      </c>
      <c r="B10" s="146">
        <v>46204</v>
      </c>
      <c r="C10">
        <v>2221908</v>
      </c>
      <c r="D10" t="s">
        <v>398</v>
      </c>
      <c r="E10" t="s">
        <v>643</v>
      </c>
      <c r="F10" t="s">
        <v>650</v>
      </c>
      <c r="G10" t="s">
        <v>235</v>
      </c>
      <c r="H10" t="s">
        <v>641</v>
      </c>
      <c r="I10" t="s">
        <v>1237</v>
      </c>
      <c r="J10">
        <v>2210</v>
      </c>
      <c r="K10" s="141">
        <v>39.558999999999997</v>
      </c>
      <c r="O10" t="s">
        <v>1231</v>
      </c>
      <c r="P10">
        <v>0</v>
      </c>
      <c r="Q10" t="s">
        <v>1231</v>
      </c>
      <c r="U10">
        <v>50</v>
      </c>
      <c r="W10" t="s">
        <v>958</v>
      </c>
      <c r="X10" t="s">
        <v>883</v>
      </c>
      <c r="Y10" t="s">
        <v>1234</v>
      </c>
      <c r="AA10" t="s">
        <v>419</v>
      </c>
      <c r="AB10">
        <v>0</v>
      </c>
      <c r="AK10" t="s">
        <v>642</v>
      </c>
      <c r="AL10" t="s">
        <v>290</v>
      </c>
    </row>
    <row r="11" spans="1:40">
      <c r="A11" s="146">
        <v>46204.903449074074</v>
      </c>
      <c r="B11" s="146">
        <v>46204</v>
      </c>
      <c r="C11">
        <v>2325295</v>
      </c>
      <c r="D11" t="s">
        <v>411</v>
      </c>
      <c r="E11" t="s">
        <v>643</v>
      </c>
      <c r="F11" t="s">
        <v>650</v>
      </c>
      <c r="G11" t="s">
        <v>262</v>
      </c>
      <c r="H11" t="s">
        <v>641</v>
      </c>
      <c r="I11" t="s">
        <v>96</v>
      </c>
      <c r="J11">
        <v>2510</v>
      </c>
      <c r="K11" s="141">
        <v>50.451000000000001</v>
      </c>
      <c r="O11" t="s">
        <v>1231</v>
      </c>
      <c r="P11">
        <v>0</v>
      </c>
      <c r="Q11" t="s">
        <v>1231</v>
      </c>
      <c r="U11">
        <v>45</v>
      </c>
      <c r="W11" t="s">
        <v>958</v>
      </c>
      <c r="X11" t="s">
        <v>883</v>
      </c>
      <c r="Y11" t="s">
        <v>1238</v>
      </c>
      <c r="AA11" t="s">
        <v>419</v>
      </c>
      <c r="AB11">
        <v>0</v>
      </c>
      <c r="AK11" t="s">
        <v>642</v>
      </c>
      <c r="AL11" t="s">
        <v>59</v>
      </c>
    </row>
    <row r="12" spans="1:40">
      <c r="A12" s="146">
        <v>46204.903449074074</v>
      </c>
      <c r="B12" s="146">
        <v>46204</v>
      </c>
      <c r="C12">
        <v>2325295</v>
      </c>
      <c r="D12" t="s">
        <v>411</v>
      </c>
      <c r="E12" t="s">
        <v>643</v>
      </c>
      <c r="F12" t="s">
        <v>650</v>
      </c>
      <c r="G12" t="s">
        <v>233</v>
      </c>
      <c r="H12" t="s">
        <v>641</v>
      </c>
      <c r="I12" t="s">
        <v>93</v>
      </c>
      <c r="J12">
        <v>1845</v>
      </c>
      <c r="K12" s="141">
        <v>95.201999999999998</v>
      </c>
      <c r="O12" t="s">
        <v>1231</v>
      </c>
      <c r="P12">
        <v>0</v>
      </c>
      <c r="Q12" t="s">
        <v>1231</v>
      </c>
      <c r="U12">
        <v>27</v>
      </c>
      <c r="W12" t="s">
        <v>958</v>
      </c>
      <c r="X12" t="s">
        <v>883</v>
      </c>
      <c r="Y12" t="s">
        <v>1239</v>
      </c>
      <c r="AA12" t="s">
        <v>419</v>
      </c>
      <c r="AB12">
        <v>0</v>
      </c>
      <c r="AK12" t="s">
        <v>642</v>
      </c>
      <c r="AL12" t="s">
        <v>290</v>
      </c>
    </row>
    <row r="13" spans="1:40">
      <c r="A13" s="146">
        <v>46204.915011574078</v>
      </c>
      <c r="B13" s="146">
        <v>46204</v>
      </c>
      <c r="C13">
        <v>2020965</v>
      </c>
      <c r="D13" t="s">
        <v>386</v>
      </c>
      <c r="E13" t="s">
        <v>643</v>
      </c>
      <c r="F13" t="s">
        <v>650</v>
      </c>
      <c r="G13" t="s">
        <v>241</v>
      </c>
      <c r="H13" t="s">
        <v>641</v>
      </c>
      <c r="I13" t="s">
        <v>1241</v>
      </c>
      <c r="J13">
        <v>930</v>
      </c>
      <c r="K13" s="141">
        <v>32.457000000000001</v>
      </c>
      <c r="O13" t="s">
        <v>1231</v>
      </c>
      <c r="P13">
        <v>0</v>
      </c>
      <c r="Q13" t="s">
        <v>1231</v>
      </c>
      <c r="U13">
        <v>30</v>
      </c>
      <c r="W13" t="s">
        <v>958</v>
      </c>
      <c r="X13" t="s">
        <v>883</v>
      </c>
      <c r="Y13" t="s">
        <v>1240</v>
      </c>
      <c r="AA13" t="s">
        <v>419</v>
      </c>
      <c r="AB13">
        <v>0</v>
      </c>
      <c r="AK13" t="s">
        <v>642</v>
      </c>
      <c r="AL13" t="s">
        <v>290</v>
      </c>
    </row>
    <row r="14" spans="1:40">
      <c r="A14" s="146">
        <v>46204.915011574078</v>
      </c>
      <c r="B14" s="146">
        <v>46204</v>
      </c>
      <c r="C14">
        <v>2243991</v>
      </c>
      <c r="D14" t="s">
        <v>410</v>
      </c>
      <c r="E14" t="s">
        <v>653</v>
      </c>
      <c r="F14" t="s">
        <v>650</v>
      </c>
      <c r="G14" t="s">
        <v>241</v>
      </c>
      <c r="H14" t="s">
        <v>641</v>
      </c>
      <c r="I14" t="s">
        <v>1242</v>
      </c>
      <c r="J14">
        <v>500</v>
      </c>
      <c r="K14" s="141">
        <v>20</v>
      </c>
      <c r="O14" t="s">
        <v>1231</v>
      </c>
      <c r="P14">
        <v>0</v>
      </c>
      <c r="Q14" t="s">
        <v>1231</v>
      </c>
      <c r="U14">
        <v>30</v>
      </c>
      <c r="W14" t="s">
        <v>958</v>
      </c>
      <c r="X14" t="s">
        <v>883</v>
      </c>
      <c r="Y14" t="s">
        <v>1240</v>
      </c>
      <c r="AA14" t="s">
        <v>419</v>
      </c>
      <c r="AB14">
        <v>0</v>
      </c>
      <c r="AK14" t="s">
        <v>642</v>
      </c>
      <c r="AL14" t="s">
        <v>290</v>
      </c>
    </row>
    <row r="15" spans="1:40">
      <c r="A15" s="146">
        <v>46205.225763888891</v>
      </c>
      <c r="B15" s="146">
        <v>46204</v>
      </c>
      <c r="C15">
        <v>2021742</v>
      </c>
      <c r="D15" t="s">
        <v>391</v>
      </c>
      <c r="E15" t="s">
        <v>653</v>
      </c>
      <c r="F15" t="s">
        <v>650</v>
      </c>
      <c r="G15" t="s">
        <v>233</v>
      </c>
      <c r="H15" t="s">
        <v>641</v>
      </c>
      <c r="I15" t="s">
        <v>1244</v>
      </c>
      <c r="J15">
        <v>3075</v>
      </c>
      <c r="K15" s="141">
        <v>158.66999999999999</v>
      </c>
      <c r="O15" t="s">
        <v>1231</v>
      </c>
      <c r="P15">
        <v>0</v>
      </c>
      <c r="Q15" t="s">
        <v>1231</v>
      </c>
      <c r="U15">
        <v>27</v>
      </c>
      <c r="W15" t="s">
        <v>958</v>
      </c>
      <c r="X15" t="s">
        <v>883</v>
      </c>
      <c r="Y15" t="s">
        <v>1243</v>
      </c>
      <c r="AA15" t="s">
        <v>419</v>
      </c>
      <c r="AB15">
        <v>0</v>
      </c>
      <c r="AK15" t="s">
        <v>642</v>
      </c>
      <c r="AL15" t="s">
        <v>290</v>
      </c>
    </row>
    <row r="16" spans="1:40">
      <c r="A16" s="146">
        <v>46205.227731481478</v>
      </c>
      <c r="B16" s="146">
        <v>46204</v>
      </c>
      <c r="C16">
        <v>2222785</v>
      </c>
      <c r="D16" t="s">
        <v>399</v>
      </c>
      <c r="E16" t="s">
        <v>653</v>
      </c>
      <c r="F16" t="s">
        <v>650</v>
      </c>
      <c r="G16" t="s">
        <v>481</v>
      </c>
      <c r="H16" t="s">
        <v>641</v>
      </c>
      <c r="I16" t="s">
        <v>1246</v>
      </c>
      <c r="J16">
        <v>840</v>
      </c>
      <c r="K16" s="141">
        <v>67.367999999999995</v>
      </c>
      <c r="L16">
        <v>0</v>
      </c>
      <c r="M16">
        <v>0</v>
      </c>
      <c r="N16">
        <v>67.367999999999995</v>
      </c>
      <c r="O16" t="s">
        <v>1231</v>
      </c>
      <c r="P16">
        <v>0</v>
      </c>
      <c r="Q16" t="s">
        <v>1231</v>
      </c>
      <c r="S16">
        <v>0</v>
      </c>
      <c r="T16">
        <v>1.2</v>
      </c>
      <c r="U16">
        <v>13.5</v>
      </c>
      <c r="V16">
        <v>0.86419753086419748</v>
      </c>
      <c r="W16" t="s">
        <v>958</v>
      </c>
      <c r="X16" t="s">
        <v>883</v>
      </c>
      <c r="Y16" t="s">
        <v>1245</v>
      </c>
      <c r="AA16" t="s">
        <v>419</v>
      </c>
      <c r="AB16">
        <v>0</v>
      </c>
      <c r="AG16">
        <v>1</v>
      </c>
      <c r="AH16">
        <v>840</v>
      </c>
      <c r="AK16" t="s">
        <v>642</v>
      </c>
      <c r="AL16" t="s">
        <v>290</v>
      </c>
      <c r="AM16">
        <v>2</v>
      </c>
    </row>
    <row r="17" spans="1:38">
      <c r="A17" s="146">
        <v>46205.429189814815</v>
      </c>
      <c r="B17" s="146">
        <v>46205</v>
      </c>
      <c r="C17">
        <v>2241656</v>
      </c>
      <c r="D17" t="s">
        <v>409</v>
      </c>
      <c r="E17" t="s">
        <v>659</v>
      </c>
      <c r="F17" t="s">
        <v>650</v>
      </c>
      <c r="G17" t="s">
        <v>262</v>
      </c>
      <c r="H17" t="s">
        <v>641</v>
      </c>
      <c r="I17" t="s">
        <v>1247</v>
      </c>
      <c r="J17">
        <v>1510</v>
      </c>
      <c r="K17" s="141">
        <v>30.350999999999999</v>
      </c>
      <c r="O17" t="s">
        <v>1224</v>
      </c>
      <c r="P17">
        <v>0</v>
      </c>
      <c r="Q17" t="s">
        <v>1224</v>
      </c>
      <c r="U17">
        <v>45</v>
      </c>
      <c r="W17" t="s">
        <v>958</v>
      </c>
      <c r="X17" t="s">
        <v>883</v>
      </c>
      <c r="Y17" t="s">
        <v>1228</v>
      </c>
      <c r="AA17" t="s">
        <v>647</v>
      </c>
      <c r="AB17">
        <v>0</v>
      </c>
      <c r="AK17" t="s">
        <v>642</v>
      </c>
      <c r="AL17" t="s">
        <v>59</v>
      </c>
    </row>
    <row r="18" spans="1:38" ht="14.25" customHeight="1">
      <c r="A18" s="146">
        <v>46205.429189814815</v>
      </c>
      <c r="B18" s="146">
        <v>46205</v>
      </c>
      <c r="C18">
        <v>2020390</v>
      </c>
      <c r="D18" t="s">
        <v>382</v>
      </c>
      <c r="E18" t="s">
        <v>659</v>
      </c>
      <c r="F18" t="s">
        <v>650</v>
      </c>
      <c r="G18" t="s">
        <v>1252</v>
      </c>
      <c r="H18" t="s">
        <v>641</v>
      </c>
      <c r="I18" t="s">
        <v>1253</v>
      </c>
      <c r="J18">
        <v>4420</v>
      </c>
      <c r="K18" s="141">
        <v>30.350999999999999</v>
      </c>
      <c r="O18" t="s">
        <v>1224</v>
      </c>
      <c r="P18">
        <v>0</v>
      </c>
      <c r="Q18" t="s">
        <v>1224</v>
      </c>
      <c r="U18">
        <v>45</v>
      </c>
      <c r="W18" t="s">
        <v>958</v>
      </c>
      <c r="X18" t="s">
        <v>883</v>
      </c>
      <c r="Y18" t="s">
        <v>1228</v>
      </c>
      <c r="AA18" t="s">
        <v>647</v>
      </c>
      <c r="AB18">
        <v>0</v>
      </c>
      <c r="AK18" t="s">
        <v>642</v>
      </c>
      <c r="AL18" t="s">
        <v>59</v>
      </c>
    </row>
    <row r="19" spans="1:38">
      <c r="A19" s="146">
        <v>46205.884988425925</v>
      </c>
      <c r="B19" s="146">
        <v>46205</v>
      </c>
      <c r="C19">
        <v>2221908</v>
      </c>
      <c r="D19" t="s">
        <v>398</v>
      </c>
      <c r="E19" t="s">
        <v>643</v>
      </c>
      <c r="F19" t="s">
        <v>650</v>
      </c>
      <c r="G19" t="s">
        <v>429</v>
      </c>
      <c r="H19" t="s">
        <v>641</v>
      </c>
      <c r="I19" t="s">
        <v>1270</v>
      </c>
      <c r="J19">
        <v>5710</v>
      </c>
      <c r="K19" s="141">
        <v>39.558999999999997</v>
      </c>
      <c r="O19" t="s">
        <v>1231</v>
      </c>
      <c r="P19">
        <v>0</v>
      </c>
      <c r="Q19" t="s">
        <v>1231</v>
      </c>
      <c r="U19">
        <v>50</v>
      </c>
      <c r="W19" t="s">
        <v>958</v>
      </c>
      <c r="X19" t="s">
        <v>883</v>
      </c>
      <c r="Y19" t="s">
        <v>1234</v>
      </c>
      <c r="AA19" t="s">
        <v>419</v>
      </c>
      <c r="AB19">
        <v>0</v>
      </c>
      <c r="AK19" t="s">
        <v>642</v>
      </c>
      <c r="AL19" t="s">
        <v>290</v>
      </c>
    </row>
    <row r="20" spans="1:38">
      <c r="A20" s="146">
        <v>46205.884988425925</v>
      </c>
      <c r="B20" s="146">
        <v>46205.884988425925</v>
      </c>
      <c r="C20">
        <v>2020965</v>
      </c>
      <c r="D20" t="s">
        <v>386</v>
      </c>
      <c r="E20" t="s">
        <v>643</v>
      </c>
      <c r="F20" t="s">
        <v>650</v>
      </c>
      <c r="G20" t="s">
        <v>229</v>
      </c>
      <c r="H20" t="s">
        <v>641</v>
      </c>
      <c r="I20" t="s">
        <v>1268</v>
      </c>
      <c r="J20">
        <v>1020</v>
      </c>
      <c r="K20" s="141">
        <v>74</v>
      </c>
      <c r="O20" t="s">
        <v>1231</v>
      </c>
      <c r="P20">
        <v>0</v>
      </c>
      <c r="Q20" t="s">
        <v>1231</v>
      </c>
      <c r="U20">
        <v>30</v>
      </c>
      <c r="W20" t="s">
        <v>958</v>
      </c>
      <c r="X20" t="s">
        <v>883</v>
      </c>
      <c r="Y20" t="s">
        <v>1240</v>
      </c>
      <c r="AA20" t="s">
        <v>419</v>
      </c>
      <c r="AB20">
        <v>0</v>
      </c>
      <c r="AK20" t="s">
        <v>642</v>
      </c>
      <c r="AL20" t="s">
        <v>290</v>
      </c>
    </row>
    <row r="21" spans="1:38">
      <c r="A21" s="146">
        <v>46205.884988425925</v>
      </c>
      <c r="B21" s="146">
        <v>46205</v>
      </c>
      <c r="C21">
        <v>2325295</v>
      </c>
      <c r="D21" t="s">
        <v>411</v>
      </c>
      <c r="E21" t="s">
        <v>643</v>
      </c>
      <c r="F21" t="s">
        <v>650</v>
      </c>
      <c r="G21" t="s">
        <v>233</v>
      </c>
      <c r="H21" t="s">
        <v>641</v>
      </c>
      <c r="I21" t="s">
        <v>1271</v>
      </c>
      <c r="J21">
        <v>2460</v>
      </c>
      <c r="K21" s="141">
        <v>50.451000000000001</v>
      </c>
      <c r="O21" t="s">
        <v>1231</v>
      </c>
      <c r="P21">
        <v>0</v>
      </c>
      <c r="Q21" t="s">
        <v>1231</v>
      </c>
      <c r="U21">
        <v>45</v>
      </c>
      <c r="W21" t="s">
        <v>958</v>
      </c>
      <c r="X21" t="s">
        <v>883</v>
      </c>
      <c r="Y21" t="s">
        <v>1238</v>
      </c>
      <c r="AA21" t="s">
        <v>419</v>
      </c>
      <c r="AB21">
        <v>0</v>
      </c>
      <c r="AK21" t="s">
        <v>642</v>
      </c>
      <c r="AL21" t="s">
        <v>59</v>
      </c>
    </row>
    <row r="22" spans="1:38">
      <c r="A22" s="146">
        <v>46205.884988425925</v>
      </c>
      <c r="B22" s="146">
        <v>46205</v>
      </c>
      <c r="C22">
        <v>2325295</v>
      </c>
      <c r="D22" t="s">
        <v>411</v>
      </c>
      <c r="E22" t="s">
        <v>643</v>
      </c>
      <c r="F22" t="s">
        <v>650</v>
      </c>
      <c r="G22" t="s">
        <v>255</v>
      </c>
      <c r="H22" t="s">
        <v>641</v>
      </c>
      <c r="I22" t="s">
        <v>1272</v>
      </c>
      <c r="J22">
        <v>1230</v>
      </c>
      <c r="K22" s="141">
        <v>50.451000000000001</v>
      </c>
      <c r="O22" t="s">
        <v>1231</v>
      </c>
      <c r="P22">
        <v>0</v>
      </c>
      <c r="Q22" t="s">
        <v>1231</v>
      </c>
      <c r="U22">
        <v>45</v>
      </c>
      <c r="W22" t="s">
        <v>958</v>
      </c>
      <c r="X22" t="s">
        <v>883</v>
      </c>
      <c r="Y22" t="s">
        <v>1238</v>
      </c>
      <c r="AA22" t="s">
        <v>419</v>
      </c>
      <c r="AB22">
        <v>0</v>
      </c>
      <c r="AK22" t="s">
        <v>642</v>
      </c>
      <c r="AL22" t="s">
        <v>59</v>
      </c>
    </row>
    <row r="23" spans="1:38">
      <c r="A23" s="146">
        <v>46205.884988425925</v>
      </c>
      <c r="B23" s="146">
        <v>46205</v>
      </c>
      <c r="C23">
        <v>2022158</v>
      </c>
      <c r="D23" t="s">
        <v>394</v>
      </c>
      <c r="E23" t="s">
        <v>643</v>
      </c>
      <c r="F23" t="s">
        <v>650</v>
      </c>
      <c r="G23" t="s">
        <v>250</v>
      </c>
      <c r="H23" t="s">
        <v>641</v>
      </c>
      <c r="I23" t="s">
        <v>1236</v>
      </c>
      <c r="J23">
        <v>1060</v>
      </c>
      <c r="K23" s="141">
        <v>206.31199999999998</v>
      </c>
      <c r="O23" t="s">
        <v>1231</v>
      </c>
      <c r="P23">
        <v>0</v>
      </c>
      <c r="Q23" t="s">
        <v>1231</v>
      </c>
      <c r="U23">
        <v>10</v>
      </c>
      <c r="W23" t="s">
        <v>958</v>
      </c>
      <c r="X23" t="s">
        <v>883</v>
      </c>
      <c r="Y23" t="s">
        <v>1233</v>
      </c>
      <c r="AA23" t="s">
        <v>419</v>
      </c>
      <c r="AB23">
        <v>0</v>
      </c>
      <c r="AK23" t="s">
        <v>642</v>
      </c>
      <c r="AL23" t="s">
        <v>290</v>
      </c>
    </row>
    <row r="26" spans="1:38">
      <c r="AG26" s="30"/>
    </row>
    <row r="41" spans="33:33">
      <c r="AG41" s="30"/>
    </row>
    <row r="76" ht="14.25" customHeight="1"/>
    <row r="79" ht="14.25" customHeight="1"/>
    <row r="161" spans="40:40">
      <c r="AN161" s="152" t="str">
        <f>IF(J161&lt;&gt;"",J161/VLOOKUP(LEFT(G161,6),List!$P$2:$Q$14,2,0),"")</f>
        <v/>
      </c>
    </row>
    <row r="162" spans="40:40">
      <c r="AN162" s="152" t="str">
        <f>IF(J162&lt;&gt;"",J162/VLOOKUP(LEFT(G162,6),List!$P$2:$Q$14,2,0),"")</f>
        <v/>
      </c>
    </row>
    <row r="174" spans="40:40" ht="14.25" customHeight="1"/>
    <row r="179" spans="40:40">
      <c r="AN179" s="152" t="str">
        <f>IF(J179&lt;&gt;"",J179/VLOOKUP(LEFT(G179,6),List!$P$2:$Q$14,2,0),"")</f>
        <v/>
      </c>
    </row>
    <row r="181" spans="40:40">
      <c r="AN181" s="152" t="str">
        <f>IF(J181&lt;&gt;"",J181/VLOOKUP(LEFT(G181,6),List!$P$2:$Q$14,2,0),"")</f>
        <v/>
      </c>
    </row>
    <row r="182" spans="40:40">
      <c r="AN182" s="152" t="str">
        <f>IF(J182&lt;&gt;"",J182/VLOOKUP(LEFT(G182,6),List!$P$2:$Q$14,2,0),"")</f>
        <v/>
      </c>
    </row>
    <row r="183" spans="40:40">
      <c r="AN183" s="152" t="str">
        <f>IF(J183&lt;&gt;"",J183/VLOOKUP(LEFT(G183,6),List!$P$2:$Q$14,2,0),"")</f>
        <v/>
      </c>
    </row>
    <row r="184" spans="40:40">
      <c r="AN184" s="152" t="str">
        <f>IF(J184&lt;&gt;"",J184/VLOOKUP(LEFT(G184,6),List!$P$2:$Q$14,2,0),"")</f>
        <v/>
      </c>
    </row>
    <row r="185" spans="40:40">
      <c r="AN185" s="152" t="str">
        <f>IF(J185&lt;&gt;"",J185/VLOOKUP(LEFT(G185,6),List!$P$2:$Q$14,2,0),"")</f>
        <v/>
      </c>
    </row>
    <row r="186" spans="40:40">
      <c r="AN186" s="152" t="str">
        <f>IF(J186&lt;&gt;"",J186/VLOOKUP(LEFT(G186,6),List!$P$2:$Q$14,2,0),"")</f>
        <v/>
      </c>
    </row>
    <row r="187" spans="40:40">
      <c r="AN187" s="152" t="str">
        <f>IF(J187&lt;&gt;"",J187/VLOOKUP(LEFT(G187,6),List!$P$2:$Q$14,2,0),"")</f>
        <v/>
      </c>
    </row>
    <row r="188" spans="40:40">
      <c r="AN188" s="152" t="str">
        <f>IF(J188&lt;&gt;"",J188/VLOOKUP(LEFT(G188,6),List!$P$2:$Q$14,2,0),"")</f>
        <v/>
      </c>
    </row>
    <row r="189" spans="40:40">
      <c r="AN189" s="152" t="str">
        <f>IF(J189&lt;&gt;"",J189/VLOOKUP(LEFT(G189,6),List!$P$2:$Q$14,2,0),"")</f>
        <v/>
      </c>
    </row>
    <row r="190" spans="40:40">
      <c r="AN190" s="152" t="str">
        <f>IF(J190&lt;&gt;"",J190/VLOOKUP(LEFT(G190,6),List!$P$2:$Q$14,2,0),"")</f>
        <v/>
      </c>
    </row>
    <row r="191" spans="40:40">
      <c r="AN191" s="152" t="str">
        <f>IF(J191&lt;&gt;"",J191/VLOOKUP(LEFT(G191,6),List!$P$2:$Q$14,2,0),"")</f>
        <v/>
      </c>
    </row>
    <row r="192" spans="40:40">
      <c r="AN192" s="152" t="str">
        <f>IF(J192&lt;&gt;"",J192/VLOOKUP(LEFT(G192,6),List!$P$2:$Q$14,2,0),"")</f>
        <v/>
      </c>
    </row>
    <row r="193" spans="40:40">
      <c r="AN193" s="152" t="str">
        <f>IF(J193&lt;&gt;"",J193/VLOOKUP(LEFT(G193,6),List!$P$2:$Q$14,2,0),"")</f>
        <v/>
      </c>
    </row>
    <row r="194" spans="40:40">
      <c r="AN194" s="152" t="str">
        <f>IF(J194&lt;&gt;"",J194/VLOOKUP(LEFT(G194,6),List!$P$2:$Q$14,2,0),"")</f>
        <v/>
      </c>
    </row>
    <row r="195" spans="40:40">
      <c r="AN195" s="152" t="str">
        <f>IF(J195&lt;&gt;"",J195/VLOOKUP(LEFT(G195,6),List!$P$2:$Q$14,2,0),"")</f>
        <v/>
      </c>
    </row>
    <row r="196" spans="40:40">
      <c r="AN196" s="152" t="str">
        <f>IF(J196&lt;&gt;"",J196/VLOOKUP(LEFT(G196,6),List!$P$2:$Q$14,2,0),"")</f>
        <v/>
      </c>
    </row>
    <row r="197" spans="40:40">
      <c r="AN197" s="152" t="str">
        <f>IF(J197&lt;&gt;"",J197/VLOOKUP(LEFT(G197,6),List!$P$2:$Q$14,2,0),"")</f>
        <v/>
      </c>
    </row>
    <row r="198" spans="40:40">
      <c r="AN198" s="152" t="str">
        <f>IF(J198&lt;&gt;"",J198/VLOOKUP(LEFT(G198,6),List!$P$2:$Q$14,2,0),"")</f>
        <v/>
      </c>
    </row>
    <row r="199" spans="40:40">
      <c r="AN199" s="152" t="str">
        <f>IF(J199&lt;&gt;"",J199/VLOOKUP(LEFT(G199,6),List!$P$2:$Q$14,2,0),"")</f>
        <v/>
      </c>
    </row>
    <row r="200" spans="40:40">
      <c r="AN200" s="152" t="str">
        <f>IF(J200&lt;&gt;"",J200/VLOOKUP(LEFT(G200,6),List!$P$2:$Q$14,2,0),"")</f>
        <v/>
      </c>
    </row>
    <row r="201" spans="40:40">
      <c r="AN201" s="152" t="str">
        <f>IF(J201&lt;&gt;"",J201/VLOOKUP(LEFT(G201,6),List!$P$2:$Q$14,2,0),"")</f>
        <v/>
      </c>
    </row>
    <row r="202" spans="40:40">
      <c r="AN202" s="152" t="str">
        <f>IF(J202&lt;&gt;"",J202/VLOOKUP(LEFT(G202,6),List!$P$2:$Q$14,2,0),"")</f>
        <v/>
      </c>
    </row>
    <row r="203" spans="40:40">
      <c r="AN203" s="152" t="str">
        <f>IF(J203&lt;&gt;"",J203/VLOOKUP(LEFT(G203,6),List!$P$2:$Q$14,2,0),"")</f>
        <v/>
      </c>
    </row>
    <row r="204" spans="40:40">
      <c r="AN204" s="152" t="str">
        <f>IF(J204&lt;&gt;"",J204/VLOOKUP(LEFT(G204,6),List!$P$2:$Q$14,2,0),"")</f>
        <v/>
      </c>
    </row>
    <row r="205" spans="40:40">
      <c r="AN205" s="152" t="str">
        <f>IF(J205&lt;&gt;"",J205/VLOOKUP(LEFT(G205,6),List!$P$2:$Q$14,2,0),"")</f>
        <v/>
      </c>
    </row>
    <row r="206" spans="40:40">
      <c r="AN206" s="152" t="str">
        <f>IF(J206&lt;&gt;"",J206/VLOOKUP(LEFT(G206,6),List!$P$2:$Q$14,2,0),"")</f>
        <v/>
      </c>
    </row>
    <row r="207" spans="40:40">
      <c r="AN207" s="152" t="str">
        <f>IF(J207&lt;&gt;"",J207/VLOOKUP(LEFT(G207,6),List!$P$2:$Q$14,2,0),"")</f>
        <v/>
      </c>
    </row>
    <row r="208" spans="40:40">
      <c r="AN208" s="152" t="str">
        <f>IF(J208&lt;&gt;"",J208/VLOOKUP(LEFT(G208,6),List!$P$2:$Q$14,2,0),"")</f>
        <v/>
      </c>
    </row>
    <row r="209" spans="40:40">
      <c r="AN209" s="152" t="str">
        <f>IF(J209&lt;&gt;"",J209/VLOOKUP(LEFT(G209,6),List!$P$2:$Q$14,2,0),"")</f>
        <v/>
      </c>
    </row>
    <row r="210" spans="40:40">
      <c r="AN210" s="152" t="str">
        <f>IF(J210&lt;&gt;"",J210/VLOOKUP(LEFT(G210,6),List!$P$2:$Q$14,2,0),"")</f>
        <v/>
      </c>
    </row>
    <row r="211" spans="40:40">
      <c r="AN211" s="152" t="str">
        <f>IF(J211&lt;&gt;"",J211/VLOOKUP(LEFT(G211,6),List!$P$2:$Q$14,2,0),"")</f>
        <v/>
      </c>
    </row>
    <row r="212" spans="40:40">
      <c r="AN212" s="152" t="str">
        <f>IF(J212&lt;&gt;"",J212/VLOOKUP(LEFT(G212,6),List!$P$2:$Q$14,2,0),"")</f>
        <v/>
      </c>
    </row>
    <row r="213" spans="40:40">
      <c r="AN213" s="152" t="str">
        <f>IF(J213&lt;&gt;"",J213/VLOOKUP(LEFT(G213,6),List!$P$2:$Q$14,2,0),"")</f>
        <v/>
      </c>
    </row>
    <row r="214" spans="40:40">
      <c r="AN214" s="152" t="str">
        <f>IF(J214&lt;&gt;"",J214/VLOOKUP(LEFT(G214,6),List!$P$2:$Q$14,2,0),"")</f>
        <v/>
      </c>
    </row>
    <row r="215" spans="40:40">
      <c r="AN215" s="152" t="str">
        <f>IF(J215&lt;&gt;"",J215/VLOOKUP(LEFT(G215,6),List!$P$2:$Q$14,2,0),"")</f>
        <v/>
      </c>
    </row>
    <row r="216" spans="40:40">
      <c r="AN216" s="152" t="str">
        <f>IF(J216&lt;&gt;"",J216/VLOOKUP(LEFT(G216,6),List!$P$2:$Q$14,2,0),"")</f>
        <v/>
      </c>
    </row>
    <row r="217" spans="40:40">
      <c r="AN217" s="152" t="str">
        <f>IF(J217&lt;&gt;"",J217/VLOOKUP(LEFT(G217,6),List!$P$2:$Q$14,2,0),"")</f>
        <v/>
      </c>
    </row>
    <row r="218" spans="40:40">
      <c r="AN218" s="152" t="str">
        <f>IF(J218&lt;&gt;"",J218/VLOOKUP(LEFT(G218,6),List!$P$2:$Q$14,2,0),"")</f>
        <v/>
      </c>
    </row>
    <row r="219" spans="40:40">
      <c r="AN219" s="152" t="str">
        <f>IF(J219&lt;&gt;"",J219/VLOOKUP(LEFT(G219,6),List!$P$2:$Q$14,2,0),"")</f>
        <v/>
      </c>
    </row>
    <row r="220" spans="40:40">
      <c r="AN220" s="152" t="str">
        <f>IF(J220&lt;&gt;"",J220/VLOOKUP(LEFT(G220,6),List!$P$2:$Q$14,2,0),"")</f>
        <v/>
      </c>
    </row>
    <row r="221" spans="40:40">
      <c r="AN221" s="152" t="str">
        <f>IF(J221&lt;&gt;"",J221/VLOOKUP(LEFT(G221,6),List!$P$2:$Q$14,2,0),"")</f>
        <v/>
      </c>
    </row>
    <row r="222" spans="40:40">
      <c r="AN222" s="152" t="str">
        <f>IF(J222&lt;&gt;"",J222/VLOOKUP(LEFT(G222,6),List!$P$2:$Q$14,2,0),"")</f>
        <v/>
      </c>
    </row>
    <row r="223" spans="40:40">
      <c r="AN223" s="152" t="str">
        <f>IF(J223&lt;&gt;"",J223/VLOOKUP(LEFT(G223,6),List!$P$2:$Q$14,2,0),"")</f>
        <v/>
      </c>
    </row>
    <row r="224" spans="40:40">
      <c r="AN224" s="152" t="str">
        <f>IF(J224&lt;&gt;"",J224/VLOOKUP(LEFT(G224,6),List!$P$2:$Q$14,2,0),"")</f>
        <v/>
      </c>
    </row>
    <row r="225" spans="40:40">
      <c r="AN225" s="152" t="str">
        <f>IF(J225&lt;&gt;"",J225/VLOOKUP(LEFT(G225,6),List!$P$2:$Q$14,2,0),"")</f>
        <v/>
      </c>
    </row>
    <row r="226" spans="40:40">
      <c r="AN226" s="152" t="str">
        <f>IF(J226&lt;&gt;"",J226/VLOOKUP(LEFT(G226,6),List!$P$2:$Q$14,2,0),"")</f>
        <v/>
      </c>
    </row>
    <row r="227" spans="40:40">
      <c r="AN227" s="152" t="str">
        <f>IF(J227&lt;&gt;"",J227/VLOOKUP(LEFT(G227,6),List!$P$2:$Q$14,2,0),"")</f>
        <v/>
      </c>
    </row>
    <row r="228" spans="40:40">
      <c r="AN228" s="152" t="str">
        <f>IF(J228&lt;&gt;"",J228/VLOOKUP(LEFT(G228,6),List!$P$2:$Q$14,2,0),"")</f>
        <v/>
      </c>
    </row>
    <row r="229" spans="40:40">
      <c r="AN229" s="152" t="str">
        <f>IF(J229&lt;&gt;"",J229/VLOOKUP(LEFT(G229,6),List!$P$2:$Q$14,2,0),"")</f>
        <v/>
      </c>
    </row>
    <row r="230" spans="40:40">
      <c r="AN230" s="152" t="str">
        <f>IF(J230&lt;&gt;"",J230/VLOOKUP(LEFT(G230,6),List!$P$2:$Q$14,2,0),"")</f>
        <v/>
      </c>
    </row>
    <row r="231" spans="40:40">
      <c r="AN231" s="152" t="str">
        <f>IF(J231&lt;&gt;"",J231/VLOOKUP(LEFT(G231,6),List!$P$2:$Q$14,2,0),"")</f>
        <v/>
      </c>
    </row>
    <row r="232" spans="40:40">
      <c r="AN232" s="152" t="str">
        <f>IF(J232&lt;&gt;"",J232/VLOOKUP(LEFT(G232,6),List!$P$2:$Q$14,2,0),"")</f>
        <v/>
      </c>
    </row>
    <row r="233" spans="40:40">
      <c r="AN233" s="152" t="str">
        <f>IF(J233&lt;&gt;"",J233/VLOOKUP(LEFT(G233,6),List!$P$2:$Q$14,2,0),"")</f>
        <v/>
      </c>
    </row>
    <row r="234" spans="40:40">
      <c r="AN234" s="152" t="str">
        <f>IF(J234&lt;&gt;"",J234/VLOOKUP(LEFT(G234,6),List!$P$2:$Q$14,2,0),"")</f>
        <v/>
      </c>
    </row>
    <row r="235" spans="40:40">
      <c r="AN235" s="152" t="str">
        <f>IF(J235&lt;&gt;"",J235/VLOOKUP(LEFT(G235,6),List!$P$2:$Q$14,2,0),"")</f>
        <v/>
      </c>
    </row>
    <row r="236" spans="40:40">
      <c r="AN236" s="152" t="str">
        <f>IF(J236&lt;&gt;"",J236/VLOOKUP(LEFT(G236,6),List!$P$2:$Q$14,2,0),"")</f>
        <v/>
      </c>
    </row>
    <row r="237" spans="40:40">
      <c r="AN237" s="152" t="str">
        <f>IF(J237&lt;&gt;"",J237/VLOOKUP(LEFT(G237,6),List!$P$2:$Q$14,2,0),"")</f>
        <v/>
      </c>
    </row>
    <row r="238" spans="40:40">
      <c r="AN238" s="152" t="str">
        <f>IF(J238&lt;&gt;"",J238/VLOOKUP(LEFT(G238,6),List!$P$2:$Q$14,2,0),"")</f>
        <v/>
      </c>
    </row>
    <row r="239" spans="40:40">
      <c r="AN239" s="152" t="str">
        <f>IF(J239&lt;&gt;"",J239/VLOOKUP(LEFT(G239,6),List!$P$2:$Q$14,2,0),"")</f>
        <v/>
      </c>
    </row>
    <row r="240" spans="40:40">
      <c r="AN240" s="152" t="str">
        <f>IF(J240&lt;&gt;"",J240/VLOOKUP(LEFT(G240,6),List!$P$2:$Q$14,2,0),"")</f>
        <v/>
      </c>
    </row>
    <row r="241" spans="40:40">
      <c r="AN241" s="152" t="str">
        <f>IF(J241&lt;&gt;"",J241/VLOOKUP(LEFT(G241,6),List!$P$2:$Q$14,2,0),"")</f>
        <v/>
      </c>
    </row>
    <row r="242" spans="40:40">
      <c r="AN242" s="152" t="str">
        <f>IF(J242&lt;&gt;"",J242/VLOOKUP(LEFT(G242,6),List!$P$2:$Q$14,2,0),"")</f>
        <v/>
      </c>
    </row>
    <row r="243" spans="40:40">
      <c r="AN243" s="152" t="str">
        <f>IF(J243&lt;&gt;"",J243/VLOOKUP(LEFT(G243,6),List!$P$2:$Q$14,2,0),"")</f>
        <v/>
      </c>
    </row>
    <row r="244" spans="40:40">
      <c r="AN244" s="152" t="str">
        <f>IF(J244&lt;&gt;"",J244/VLOOKUP(LEFT(G244,6),List!$P$2:$Q$14,2,0),"")</f>
        <v/>
      </c>
    </row>
    <row r="245" spans="40:40">
      <c r="AN245" s="152" t="str">
        <f>IF(J245&lt;&gt;"",J245/VLOOKUP(LEFT(G245,6),List!$P$2:$Q$14,2,0),"")</f>
        <v/>
      </c>
    </row>
    <row r="246" spans="40:40">
      <c r="AN246" s="152" t="str">
        <f>IF(J246&lt;&gt;"",J246/VLOOKUP(LEFT(G246,6),List!$P$2:$Q$14,2,0),"")</f>
        <v/>
      </c>
    </row>
    <row r="247" spans="40:40">
      <c r="AN247" s="152" t="str">
        <f>IF(J247&lt;&gt;"",J247/VLOOKUP(LEFT(G247,6),List!$P$2:$Q$14,2,0),"")</f>
        <v/>
      </c>
    </row>
    <row r="248" spans="40:40">
      <c r="AN248" s="152" t="str">
        <f>IF(J248&lt;&gt;"",J248/VLOOKUP(LEFT(G248,6),List!$P$2:$Q$14,2,0),"")</f>
        <v/>
      </c>
    </row>
    <row r="249" spans="40:40">
      <c r="AN249" s="152" t="str">
        <f>IF(J249&lt;&gt;"",J249/VLOOKUP(LEFT(G249,6),List!$P$2:$Q$14,2,0),"")</f>
        <v/>
      </c>
    </row>
    <row r="250" spans="40:40">
      <c r="AN250" s="152" t="str">
        <f>IF(J250&lt;&gt;"",J250/VLOOKUP(LEFT(G250,6),List!$P$2:$Q$14,2,0),"")</f>
        <v/>
      </c>
    </row>
    <row r="251" spans="40:40">
      <c r="AN251" s="152" t="str">
        <f>IF(J251&lt;&gt;"",J251/VLOOKUP(LEFT(G251,6),List!$P$2:$Q$14,2,0),"")</f>
        <v/>
      </c>
    </row>
    <row r="252" spans="40:40">
      <c r="AN252" s="152" t="str">
        <f>IF(J252&lt;&gt;"",J252/VLOOKUP(LEFT(G252,6),List!$P$2:$Q$14,2,0),"")</f>
        <v/>
      </c>
    </row>
    <row r="253" spans="40:40">
      <c r="AN253" s="152" t="str">
        <f>IF(J253&lt;&gt;"",J253/VLOOKUP(LEFT(G253,6),List!$P$2:$Q$14,2,0),"")</f>
        <v/>
      </c>
    </row>
    <row r="254" spans="40:40">
      <c r="AN254" s="152" t="str">
        <f>IF(J254&lt;&gt;"",J254/VLOOKUP(LEFT(G254,6),List!$P$2:$Q$14,2,0),"")</f>
        <v/>
      </c>
    </row>
    <row r="255" spans="40:40">
      <c r="AN255" s="152" t="str">
        <f>IF(J255&lt;&gt;"",J255/VLOOKUP(LEFT(G255,6),List!$P$2:$Q$14,2,0),"")</f>
        <v/>
      </c>
    </row>
    <row r="256" spans="40:40">
      <c r="AN256" s="152" t="str">
        <f>IF(J256&lt;&gt;"",J256/VLOOKUP(LEFT(G256,6),List!$P$2:$Q$14,2,0),"")</f>
        <v/>
      </c>
    </row>
    <row r="257" spans="40:40">
      <c r="AN257" s="152" t="str">
        <f>IF(J257&lt;&gt;"",J257/VLOOKUP(LEFT(G257,6),List!$P$2:$Q$14,2,0),"")</f>
        <v/>
      </c>
    </row>
    <row r="258" spans="40:40">
      <c r="AN258" s="152" t="str">
        <f>IF(J258&lt;&gt;"",J258/VLOOKUP(LEFT(G258,6),List!$P$2:$Q$14,2,0),"")</f>
        <v/>
      </c>
    </row>
    <row r="259" spans="40:40">
      <c r="AN259" s="152" t="str">
        <f>IF(J259&lt;&gt;"",J259/VLOOKUP(LEFT(G259,6),List!$P$2:$Q$14,2,0),"")</f>
        <v/>
      </c>
    </row>
    <row r="260" spans="40:40">
      <c r="AN260" s="152" t="str">
        <f>IF(J260&lt;&gt;"",J260/VLOOKUP(LEFT(G260,6),List!$P$2:$Q$14,2,0),"")</f>
        <v/>
      </c>
    </row>
    <row r="261" spans="40:40">
      <c r="AN261" s="152" t="str">
        <f>IF(J261&lt;&gt;"",J261/VLOOKUP(LEFT(G261,6),List!$P$2:$Q$14,2,0),"")</f>
        <v/>
      </c>
    </row>
    <row r="262" spans="40:40">
      <c r="AN262" s="152" t="str">
        <f>IF(J262&lt;&gt;"",J262/VLOOKUP(LEFT(G262,6),List!$P$2:$Q$14,2,0),"")</f>
        <v/>
      </c>
    </row>
    <row r="263" spans="40:40">
      <c r="AN263" s="152" t="str">
        <f>IF(J263&lt;&gt;"",J263/VLOOKUP(LEFT(G263,6),List!$P$2:$Q$14,2,0),"")</f>
        <v/>
      </c>
    </row>
    <row r="264" spans="40:40">
      <c r="AN264" s="152" t="str">
        <f>IF(J264&lt;&gt;"",J264/VLOOKUP(LEFT(G264,6),List!$P$2:$Q$14,2,0),"")</f>
        <v/>
      </c>
    </row>
    <row r="265" spans="40:40">
      <c r="AN265" s="152" t="str">
        <f>IF(J265&lt;&gt;"",J265/VLOOKUP(LEFT(G265,6),List!$P$2:$Q$14,2,0),"")</f>
        <v/>
      </c>
    </row>
    <row r="266" spans="40:40">
      <c r="AN266" s="152" t="str">
        <f>IF(J266&lt;&gt;"",J266/VLOOKUP(LEFT(G266,6),List!$P$2:$Q$14,2,0),"")</f>
        <v/>
      </c>
    </row>
    <row r="267" spans="40:40">
      <c r="AN267" s="152" t="str">
        <f>IF(J267&lt;&gt;"",J267/VLOOKUP(LEFT(G267,6),List!$P$2:$Q$14,2,0),"")</f>
        <v/>
      </c>
    </row>
    <row r="268" spans="40:40">
      <c r="AN268" s="152" t="str">
        <f>IF(J268&lt;&gt;"",J268/VLOOKUP(LEFT(G268,6),List!$P$2:$Q$14,2,0),"")</f>
        <v/>
      </c>
    </row>
    <row r="269" spans="40:40">
      <c r="AN269" s="152" t="str">
        <f>IF(J269&lt;&gt;"",J269/VLOOKUP(LEFT(G269,6),List!$P$2:$Q$14,2,0),"")</f>
        <v/>
      </c>
    </row>
    <row r="270" spans="40:40">
      <c r="AN270" s="152" t="str">
        <f>IF(J270&lt;&gt;"",J270/VLOOKUP(LEFT(G270,6),List!$P$2:$Q$14,2,0),"")</f>
        <v/>
      </c>
    </row>
    <row r="271" spans="40:40">
      <c r="AN271" s="152" t="str">
        <f>IF(J271&lt;&gt;"",J271/VLOOKUP(LEFT(G271,6),List!$P$2:$Q$14,2,0),"")</f>
        <v/>
      </c>
    </row>
    <row r="272" spans="40:40">
      <c r="AN272" s="152" t="str">
        <f>IF(J272&lt;&gt;"",J272/VLOOKUP(LEFT(G272,6),List!$P$2:$Q$14,2,0),"")</f>
        <v/>
      </c>
    </row>
    <row r="273" spans="1:40">
      <c r="AN273" s="152" t="str">
        <f>IF(J273&lt;&gt;"",J273/VLOOKUP(LEFT(G273,6),List!$P$2:$Q$14,2,0),"")</f>
        <v/>
      </c>
    </row>
    <row r="274" spans="1:40">
      <c r="AN274" s="152" t="str">
        <f>IF(J274&lt;&gt;"",J274/VLOOKUP(LEFT(G274,6),List!$P$2:$Q$14,2,0),"")</f>
        <v/>
      </c>
    </row>
    <row r="275" spans="1:40">
      <c r="AN275" s="152" t="str">
        <f>IF(J275&lt;&gt;"",J275/VLOOKUP(LEFT(G275,6),List!$P$2:$Q$14,2,0),"")</f>
        <v/>
      </c>
    </row>
    <row r="276" spans="1:40">
      <c r="AN276" s="152" t="str">
        <f>IF(J276&lt;&gt;"",J276/VLOOKUP(LEFT(G276,6),List!$P$2:$Q$14,2,0),"")</f>
        <v/>
      </c>
    </row>
    <row r="277" spans="1:40">
      <c r="AN277" s="152" t="str">
        <f>IF(J277&lt;&gt;"",J277/VLOOKUP(LEFT(G277,6),List!$P$2:$Q$14,2,0),"")</f>
        <v/>
      </c>
    </row>
    <row r="278" spans="1:40">
      <c r="AN278" s="152" t="str">
        <f>IF(J278&lt;&gt;"",J278/VLOOKUP(LEFT(G278,6),List!$P$2:$Q$14,2,0),"")</f>
        <v/>
      </c>
    </row>
    <row r="279" spans="1:40">
      <c r="AN279" s="152" t="str">
        <f>IF(J279&lt;&gt;"",J279/VLOOKUP(LEFT(G279,6),List!$P$2:$Q$14,2,0),"")</f>
        <v/>
      </c>
    </row>
    <row r="280" spans="1:40">
      <c r="AN280" s="152" t="str">
        <f>IF(J280&lt;&gt;"",J280/VLOOKUP(LEFT(G280,6),List!$P$2:$Q$14,2,0),"")</f>
        <v/>
      </c>
    </row>
    <row r="281" spans="1:40">
      <c r="AN281" s="152" t="str">
        <f>IF(J281&lt;&gt;"",J281/VLOOKUP(LEFT(G281,6),List!$P$2:$Q$14,2,0),"")</f>
        <v/>
      </c>
    </row>
    <row r="282" spans="1:40">
      <c r="AN282" s="152" t="str">
        <f>IF(J282&lt;&gt;"",J282/VLOOKUP(LEFT(G282,6),List!$P$2:$Q$14,2,0),"")</f>
        <v/>
      </c>
    </row>
    <row r="283" spans="1:40" ht="15.75" customHeight="1">
      <c r="AN283" s="152" t="str">
        <f>IF(J283&lt;&gt;"",J283/VLOOKUP(LEFT(G283,6),List!$P$2:$Q$14,2,0),"")</f>
        <v/>
      </c>
    </row>
    <row r="284" spans="1:40" ht="27" customHeight="1">
      <c r="AN284" s="152" t="str">
        <f>IF(J284&lt;&gt;"",J284/VLOOKUP(LEFT(G284,6),List!$P$2:$Q$14,2,0),"")</f>
        <v/>
      </c>
    </row>
    <row r="285" spans="1:40" ht="17.25" customHeight="1">
      <c r="AN285" s="152" t="str">
        <f>IF(J285&lt;&gt;"",J285/VLOOKUP(LEFT(G285,6),List!$P$2:$Q$14,2,0),"")</f>
        <v/>
      </c>
    </row>
    <row r="286" spans="1:40">
      <c r="AN286" s="152" t="str">
        <f>IF(J286&lt;&gt;"",J286/VLOOKUP(LEFT(G286,6),List!$P$2:$Q$14,2,0),"")</f>
        <v/>
      </c>
    </row>
    <row r="287" spans="1:40">
      <c r="A287" s="146">
        <v>46188.894212962965</v>
      </c>
      <c r="B287" s="146">
        <v>46188.894212962965</v>
      </c>
      <c r="C287">
        <v>2325295</v>
      </c>
      <c r="D287" t="s">
        <v>411</v>
      </c>
      <c r="E287" t="s">
        <v>659</v>
      </c>
      <c r="F287" t="s">
        <v>650</v>
      </c>
      <c r="G287" t="s">
        <v>260</v>
      </c>
      <c r="H287" t="s">
        <v>641</v>
      </c>
      <c r="I287" t="s">
        <v>93</v>
      </c>
      <c r="J287">
        <v>400</v>
      </c>
      <c r="K287" s="141">
        <v>0</v>
      </c>
      <c r="O287" t="s">
        <v>669</v>
      </c>
      <c r="P287">
        <v>0</v>
      </c>
      <c r="Q287" t="s">
        <v>669</v>
      </c>
      <c r="U287">
        <v>40</v>
      </c>
      <c r="W287" t="s">
        <v>658</v>
      </c>
      <c r="X287" t="s">
        <v>657</v>
      </c>
      <c r="Y287" t="s">
        <v>672</v>
      </c>
      <c r="AA287" t="s">
        <v>419</v>
      </c>
      <c r="AB287">
        <v>0</v>
      </c>
      <c r="AK287" t="s">
        <v>642</v>
      </c>
      <c r="AL287" t="s">
        <v>290</v>
      </c>
    </row>
    <row r="288" spans="1:40">
      <c r="A288" s="146">
        <v>46188.894212962965</v>
      </c>
      <c r="B288" s="146">
        <v>46188.894212962965</v>
      </c>
      <c r="C288">
        <v>2020965</v>
      </c>
      <c r="D288" t="s">
        <v>386</v>
      </c>
      <c r="E288" t="s">
        <v>643</v>
      </c>
      <c r="F288" t="s">
        <v>650</v>
      </c>
      <c r="G288" t="s">
        <v>667</v>
      </c>
      <c r="H288" t="s">
        <v>641</v>
      </c>
      <c r="I288" t="s">
        <v>96</v>
      </c>
      <c r="J288">
        <v>3020</v>
      </c>
      <c r="K288" s="141">
        <v>62</v>
      </c>
      <c r="O288" t="s">
        <v>669</v>
      </c>
      <c r="P288">
        <v>0</v>
      </c>
      <c r="Q288" t="s">
        <v>669</v>
      </c>
      <c r="U288">
        <v>40</v>
      </c>
      <c r="W288" t="s">
        <v>658</v>
      </c>
      <c r="X288" t="s">
        <v>657</v>
      </c>
      <c r="Y288" t="s">
        <v>672</v>
      </c>
      <c r="AA288" t="s">
        <v>419</v>
      </c>
      <c r="AB288">
        <v>0</v>
      </c>
      <c r="AK288" t="s">
        <v>642</v>
      </c>
      <c r="AL288" t="s">
        <v>290</v>
      </c>
    </row>
    <row r="289" spans="1:39">
      <c r="A289" s="146">
        <v>46188.579363425924</v>
      </c>
      <c r="B289" s="146">
        <v>46188</v>
      </c>
      <c r="C289">
        <v>2221908</v>
      </c>
      <c r="D289" t="s">
        <v>398</v>
      </c>
      <c r="E289" t="s">
        <v>659</v>
      </c>
      <c r="F289" t="s">
        <v>650</v>
      </c>
      <c r="G289" t="s">
        <v>225</v>
      </c>
      <c r="H289" t="s">
        <v>641</v>
      </c>
      <c r="I289" t="s">
        <v>88</v>
      </c>
      <c r="J289">
        <v>930</v>
      </c>
      <c r="K289" s="141">
        <v>32.457000000000001</v>
      </c>
      <c r="O289" t="s">
        <v>651</v>
      </c>
      <c r="P289">
        <v>1</v>
      </c>
      <c r="Q289" t="s">
        <v>651</v>
      </c>
      <c r="U289">
        <v>30</v>
      </c>
      <c r="W289" t="s">
        <v>658</v>
      </c>
      <c r="X289" t="s">
        <v>657</v>
      </c>
      <c r="Y289" t="s">
        <v>682</v>
      </c>
      <c r="AA289" t="s">
        <v>419</v>
      </c>
      <c r="AB289">
        <v>0</v>
      </c>
      <c r="AK289" t="s">
        <v>642</v>
      </c>
      <c r="AL289" t="s">
        <v>59</v>
      </c>
    </row>
    <row r="290" spans="1:39">
      <c r="A290" s="146">
        <v>46188.580497685187</v>
      </c>
      <c r="B290" s="146">
        <v>46188</v>
      </c>
      <c r="C290">
        <v>2325365</v>
      </c>
      <c r="D290" t="s">
        <v>414</v>
      </c>
      <c r="E290" t="s">
        <v>659</v>
      </c>
      <c r="F290" t="s">
        <v>650</v>
      </c>
      <c r="G290" t="s">
        <v>675</v>
      </c>
      <c r="H290" t="s">
        <v>641</v>
      </c>
      <c r="I290" t="s">
        <v>98</v>
      </c>
      <c r="J290">
        <v>2210</v>
      </c>
      <c r="K290" s="141">
        <v>39.558999999999997</v>
      </c>
      <c r="O290" t="s">
        <v>651</v>
      </c>
      <c r="P290">
        <v>1</v>
      </c>
      <c r="Q290" t="s">
        <v>651</v>
      </c>
      <c r="U290">
        <v>50</v>
      </c>
      <c r="W290" t="s">
        <v>658</v>
      </c>
      <c r="X290" t="s">
        <v>657</v>
      </c>
      <c r="Y290" t="s">
        <v>683</v>
      </c>
      <c r="AA290" t="s">
        <v>419</v>
      </c>
      <c r="AB290">
        <v>0</v>
      </c>
      <c r="AK290" t="s">
        <v>642</v>
      </c>
      <c r="AL290" t="s">
        <v>290</v>
      </c>
    </row>
    <row r="291" spans="1:39">
      <c r="A291" s="146">
        <v>46188.581516203703</v>
      </c>
      <c r="B291" s="146">
        <v>46188</v>
      </c>
      <c r="C291">
        <v>2022158</v>
      </c>
      <c r="D291" t="s">
        <v>394</v>
      </c>
      <c r="E291" t="s">
        <v>659</v>
      </c>
      <c r="F291" t="s">
        <v>650</v>
      </c>
      <c r="G291" t="s">
        <v>236</v>
      </c>
      <c r="H291" t="s">
        <v>641</v>
      </c>
      <c r="I291" t="s">
        <v>97</v>
      </c>
      <c r="J291">
        <v>1220</v>
      </c>
      <c r="K291" s="141">
        <v>87.22999999999999</v>
      </c>
      <c r="O291" t="s">
        <v>684</v>
      </c>
      <c r="P291">
        <v>0</v>
      </c>
      <c r="Q291" t="s">
        <v>684</v>
      </c>
      <c r="U291">
        <v>17</v>
      </c>
      <c r="W291" t="s">
        <v>658</v>
      </c>
      <c r="X291" t="s">
        <v>657</v>
      </c>
      <c r="Y291" t="s">
        <v>685</v>
      </c>
      <c r="AA291" t="s">
        <v>419</v>
      </c>
      <c r="AB291">
        <v>0</v>
      </c>
      <c r="AK291" t="s">
        <v>642</v>
      </c>
      <c r="AL291" t="s">
        <v>290</v>
      </c>
    </row>
    <row r="292" spans="1:39">
      <c r="A292" s="146">
        <v>46188.859456018516</v>
      </c>
      <c r="B292" s="146">
        <v>46188</v>
      </c>
      <c r="C292">
        <v>2224358</v>
      </c>
      <c r="D292" t="s">
        <v>417</v>
      </c>
      <c r="E292" t="s">
        <v>643</v>
      </c>
      <c r="F292" t="s">
        <v>650</v>
      </c>
      <c r="G292" t="s">
        <v>230</v>
      </c>
      <c r="H292" t="s">
        <v>641</v>
      </c>
      <c r="I292" t="s">
        <v>87</v>
      </c>
      <c r="J292">
        <v>5230</v>
      </c>
      <c r="K292" s="141">
        <v>45.500999999999998</v>
      </c>
      <c r="O292" t="s">
        <v>686</v>
      </c>
      <c r="P292">
        <v>0</v>
      </c>
      <c r="Q292" t="s">
        <v>686</v>
      </c>
      <c r="R292" t="s">
        <v>687</v>
      </c>
      <c r="U292">
        <v>70</v>
      </c>
      <c r="W292" t="s">
        <v>658</v>
      </c>
      <c r="X292" t="s">
        <v>657</v>
      </c>
      <c r="Y292" t="s">
        <v>688</v>
      </c>
      <c r="AA292" t="s">
        <v>647</v>
      </c>
      <c r="AB292">
        <v>0</v>
      </c>
      <c r="AK292" t="s">
        <v>642</v>
      </c>
      <c r="AL292" t="s">
        <v>290</v>
      </c>
    </row>
    <row r="293" spans="1:39">
      <c r="A293" s="146">
        <v>46188.873124999998</v>
      </c>
      <c r="B293" s="146">
        <v>46188</v>
      </c>
      <c r="C293">
        <v>2021742</v>
      </c>
      <c r="D293" t="s">
        <v>391</v>
      </c>
      <c r="E293" t="s">
        <v>643</v>
      </c>
      <c r="F293" t="s">
        <v>650</v>
      </c>
      <c r="G293" t="s">
        <v>671</v>
      </c>
      <c r="H293" t="s">
        <v>641</v>
      </c>
      <c r="I293" t="s">
        <v>96</v>
      </c>
      <c r="J293">
        <v>3020</v>
      </c>
      <c r="K293" s="141">
        <v>54.058</v>
      </c>
      <c r="O293" t="s">
        <v>686</v>
      </c>
      <c r="P293">
        <v>0</v>
      </c>
      <c r="Q293" t="s">
        <v>686</v>
      </c>
      <c r="U293">
        <v>60</v>
      </c>
      <c r="W293" t="s">
        <v>658</v>
      </c>
      <c r="X293" t="s">
        <v>657</v>
      </c>
      <c r="Y293" t="s">
        <v>689</v>
      </c>
      <c r="AA293" t="s">
        <v>647</v>
      </c>
      <c r="AB293">
        <v>0</v>
      </c>
      <c r="AK293" t="s">
        <v>642</v>
      </c>
      <c r="AL293" t="s">
        <v>290</v>
      </c>
    </row>
    <row r="294" spans="1:39">
      <c r="A294" s="146">
        <v>46188.877442129633</v>
      </c>
      <c r="B294" s="146">
        <v>46188</v>
      </c>
      <c r="C294">
        <v>2325374</v>
      </c>
      <c r="D294" t="s">
        <v>415</v>
      </c>
      <c r="E294" t="s">
        <v>643</v>
      </c>
      <c r="F294" t="s">
        <v>650</v>
      </c>
      <c r="G294" t="s">
        <v>227</v>
      </c>
      <c r="H294" t="s">
        <v>641</v>
      </c>
      <c r="I294" t="s">
        <v>90</v>
      </c>
      <c r="J294">
        <v>1510</v>
      </c>
      <c r="K294" s="141">
        <v>27.029</v>
      </c>
      <c r="O294" t="s">
        <v>690</v>
      </c>
      <c r="P294">
        <v>0</v>
      </c>
      <c r="Q294" t="s">
        <v>690</v>
      </c>
      <c r="R294" t="s">
        <v>691</v>
      </c>
      <c r="U294">
        <v>45</v>
      </c>
      <c r="W294" t="s">
        <v>658</v>
      </c>
      <c r="X294" t="s">
        <v>657</v>
      </c>
      <c r="Y294" t="s">
        <v>692</v>
      </c>
      <c r="AA294" t="s">
        <v>419</v>
      </c>
      <c r="AB294">
        <v>0</v>
      </c>
      <c r="AK294" t="s">
        <v>642</v>
      </c>
      <c r="AL294" t="s">
        <v>290</v>
      </c>
    </row>
    <row r="295" spans="1:39">
      <c r="A295" s="146">
        <v>46188.878078703703</v>
      </c>
      <c r="B295" s="146">
        <v>46188</v>
      </c>
      <c r="C295">
        <v>2325374</v>
      </c>
      <c r="D295" t="s">
        <v>415</v>
      </c>
      <c r="E295" t="s">
        <v>643</v>
      </c>
      <c r="F295" t="s">
        <v>650</v>
      </c>
      <c r="G295" t="s">
        <v>260</v>
      </c>
      <c r="H295" t="s">
        <v>641</v>
      </c>
      <c r="I295" t="s">
        <v>93</v>
      </c>
      <c r="J295">
        <v>1230</v>
      </c>
      <c r="K295" s="141">
        <v>63.468000000000004</v>
      </c>
      <c r="O295" t="s">
        <v>690</v>
      </c>
      <c r="P295">
        <v>0</v>
      </c>
      <c r="Q295" t="s">
        <v>690</v>
      </c>
      <c r="R295" t="s">
        <v>693</v>
      </c>
      <c r="U295">
        <v>27</v>
      </c>
      <c r="W295" t="s">
        <v>658</v>
      </c>
      <c r="X295" t="s">
        <v>657</v>
      </c>
      <c r="Y295" t="s">
        <v>694</v>
      </c>
      <c r="AA295" t="s">
        <v>419</v>
      </c>
      <c r="AB295">
        <v>0</v>
      </c>
      <c r="AK295" t="s">
        <v>642</v>
      </c>
      <c r="AL295" t="s">
        <v>290</v>
      </c>
    </row>
    <row r="296" spans="1:39">
      <c r="A296" s="146">
        <v>46188.896689814814</v>
      </c>
      <c r="B296" s="146">
        <v>46188</v>
      </c>
      <c r="C296">
        <v>2020488</v>
      </c>
      <c r="D296" t="s">
        <v>383</v>
      </c>
      <c r="E296" t="s">
        <v>643</v>
      </c>
      <c r="F296" t="s">
        <v>650</v>
      </c>
      <c r="G296" t="s">
        <v>236</v>
      </c>
      <c r="H296" t="s">
        <v>641</v>
      </c>
      <c r="I296" t="s">
        <v>97</v>
      </c>
      <c r="J296">
        <v>1020</v>
      </c>
      <c r="K296" s="141">
        <v>72.929999999999993</v>
      </c>
      <c r="O296" t="s">
        <v>690</v>
      </c>
      <c r="P296">
        <v>0</v>
      </c>
      <c r="Q296" t="s">
        <v>690</v>
      </c>
      <c r="U296">
        <v>17</v>
      </c>
      <c r="W296" t="s">
        <v>658</v>
      </c>
      <c r="X296" t="s">
        <v>657</v>
      </c>
      <c r="Y296" t="s">
        <v>695</v>
      </c>
      <c r="AA296" t="s">
        <v>419</v>
      </c>
      <c r="AB296">
        <v>0</v>
      </c>
      <c r="AK296" t="s">
        <v>642</v>
      </c>
      <c r="AL296" t="s">
        <v>290</v>
      </c>
    </row>
    <row r="297" spans="1:39">
      <c r="A297" s="146">
        <v>46188.897129629629</v>
      </c>
      <c r="B297" s="146">
        <v>46188</v>
      </c>
      <c r="C297">
        <v>2020488</v>
      </c>
      <c r="D297" t="s">
        <v>383</v>
      </c>
      <c r="E297" t="s">
        <v>643</v>
      </c>
      <c r="F297" t="s">
        <v>650</v>
      </c>
      <c r="G297" t="s">
        <v>236</v>
      </c>
      <c r="H297" t="s">
        <v>641</v>
      </c>
      <c r="I297" t="s">
        <v>97</v>
      </c>
      <c r="J297">
        <v>1020</v>
      </c>
      <c r="K297" s="141">
        <v>72.929999999999993</v>
      </c>
      <c r="O297" t="s">
        <v>690</v>
      </c>
      <c r="P297">
        <v>0</v>
      </c>
      <c r="Q297" t="s">
        <v>690</v>
      </c>
      <c r="U297">
        <v>17</v>
      </c>
      <c r="W297" t="s">
        <v>658</v>
      </c>
      <c r="X297" t="s">
        <v>657</v>
      </c>
      <c r="Y297" t="s">
        <v>696</v>
      </c>
      <c r="AA297" t="s">
        <v>419</v>
      </c>
      <c r="AB297">
        <v>0</v>
      </c>
      <c r="AK297" t="s">
        <v>642</v>
      </c>
      <c r="AL297" t="s">
        <v>290</v>
      </c>
    </row>
    <row r="298" spans="1:39">
      <c r="A298" s="146">
        <v>46188.898958333331</v>
      </c>
      <c r="B298" s="146">
        <v>46188</v>
      </c>
      <c r="C298">
        <v>2021742</v>
      </c>
      <c r="D298" t="s">
        <v>391</v>
      </c>
      <c r="E298" t="s">
        <v>643</v>
      </c>
      <c r="F298" t="s">
        <v>654</v>
      </c>
      <c r="G298" t="s">
        <v>233</v>
      </c>
      <c r="H298" t="s">
        <v>641</v>
      </c>
      <c r="I298" t="s">
        <v>95</v>
      </c>
      <c r="J298">
        <v>6150</v>
      </c>
      <c r="K298" s="141">
        <v>317.33999999999997</v>
      </c>
      <c r="L298">
        <v>0</v>
      </c>
      <c r="M298">
        <v>0</v>
      </c>
      <c r="N298">
        <v>317.33999999999997</v>
      </c>
      <c r="O298" t="s">
        <v>690</v>
      </c>
      <c r="P298">
        <v>0</v>
      </c>
      <c r="Q298" t="s">
        <v>690</v>
      </c>
      <c r="S298">
        <v>1</v>
      </c>
      <c r="T298">
        <v>5</v>
      </c>
      <c r="U298">
        <v>27</v>
      </c>
      <c r="V298">
        <v>0.75925925925925919</v>
      </c>
      <c r="W298" t="s">
        <v>658</v>
      </c>
      <c r="X298" t="s">
        <v>657</v>
      </c>
      <c r="Y298" t="s">
        <v>697</v>
      </c>
      <c r="AA298" t="s">
        <v>419</v>
      </c>
      <c r="AB298">
        <v>0</v>
      </c>
      <c r="AG298">
        <v>5</v>
      </c>
      <c r="AH298">
        <v>6150</v>
      </c>
      <c r="AK298" t="s">
        <v>642</v>
      </c>
      <c r="AL298" t="s">
        <v>290</v>
      </c>
      <c r="AM298">
        <v>2</v>
      </c>
    </row>
    <row r="299" spans="1:39">
      <c r="A299" s="146">
        <v>46188.898969907408</v>
      </c>
      <c r="B299" s="146">
        <v>46188</v>
      </c>
      <c r="C299">
        <v>2021742</v>
      </c>
      <c r="D299" t="s">
        <v>391</v>
      </c>
      <c r="E299" t="s">
        <v>643</v>
      </c>
      <c r="F299" t="s">
        <v>650</v>
      </c>
      <c r="G299" t="s">
        <v>233</v>
      </c>
      <c r="H299" t="s">
        <v>641</v>
      </c>
      <c r="I299" t="s">
        <v>95</v>
      </c>
      <c r="K299" s="141">
        <v>0</v>
      </c>
      <c r="O299" t="s">
        <v>690</v>
      </c>
      <c r="P299">
        <v>0</v>
      </c>
      <c r="Q299" t="s">
        <v>690</v>
      </c>
      <c r="U299">
        <v>27</v>
      </c>
      <c r="W299" t="s">
        <v>658</v>
      </c>
      <c r="X299" t="s">
        <v>657</v>
      </c>
      <c r="Y299" t="s">
        <v>697</v>
      </c>
      <c r="AA299" t="s">
        <v>419</v>
      </c>
      <c r="AB299">
        <v>0</v>
      </c>
      <c r="AK299" t="s">
        <v>642</v>
      </c>
      <c r="AL299" t="s">
        <v>290</v>
      </c>
    </row>
    <row r="300" spans="1:39">
      <c r="A300" s="146">
        <v>46188.900081018517</v>
      </c>
      <c r="B300" s="146">
        <v>46188</v>
      </c>
      <c r="C300">
        <v>2325301</v>
      </c>
      <c r="D300" t="s">
        <v>412</v>
      </c>
      <c r="E300" t="s">
        <v>643</v>
      </c>
      <c r="F300" t="s">
        <v>654</v>
      </c>
      <c r="G300" t="s">
        <v>698</v>
      </c>
      <c r="H300" t="s">
        <v>641</v>
      </c>
      <c r="I300" t="s">
        <v>101</v>
      </c>
      <c r="J300">
        <v>0</v>
      </c>
      <c r="K300" s="141">
        <v>0</v>
      </c>
      <c r="L300">
        <v>0</v>
      </c>
      <c r="M300">
        <v>0</v>
      </c>
      <c r="N300">
        <v>0</v>
      </c>
      <c r="O300" t="s">
        <v>669</v>
      </c>
      <c r="P300">
        <v>0</v>
      </c>
      <c r="Q300" t="s">
        <v>669</v>
      </c>
      <c r="S300">
        <v>0</v>
      </c>
      <c r="T300">
        <v>1</v>
      </c>
      <c r="U300">
        <v>13.5</v>
      </c>
      <c r="V300">
        <v>0</v>
      </c>
      <c r="W300" t="s">
        <v>658</v>
      </c>
      <c r="X300" t="s">
        <v>657</v>
      </c>
      <c r="Y300" t="s">
        <v>699</v>
      </c>
      <c r="AA300" t="s">
        <v>419</v>
      </c>
      <c r="AB300">
        <v>0</v>
      </c>
      <c r="AK300" t="s">
        <v>642</v>
      </c>
      <c r="AL300" t="s">
        <v>670</v>
      </c>
      <c r="AM300">
        <v>2</v>
      </c>
    </row>
    <row r="301" spans="1:39">
      <c r="A301" s="146">
        <v>46188.900092592594</v>
      </c>
      <c r="B301" s="146">
        <v>46188</v>
      </c>
      <c r="C301">
        <v>2325301</v>
      </c>
      <c r="D301" t="s">
        <v>412</v>
      </c>
      <c r="E301" t="s">
        <v>643</v>
      </c>
      <c r="F301" t="s">
        <v>650</v>
      </c>
      <c r="G301" t="s">
        <v>698</v>
      </c>
      <c r="H301" t="s">
        <v>641</v>
      </c>
      <c r="I301" t="s">
        <v>101</v>
      </c>
      <c r="J301">
        <v>840</v>
      </c>
      <c r="K301" s="141">
        <v>67.367999999999995</v>
      </c>
      <c r="O301" t="s">
        <v>669</v>
      </c>
      <c r="P301">
        <v>0</v>
      </c>
      <c r="Q301" t="s">
        <v>669</v>
      </c>
      <c r="U301">
        <v>13.5</v>
      </c>
      <c r="W301" t="s">
        <v>658</v>
      </c>
      <c r="X301" t="s">
        <v>657</v>
      </c>
      <c r="Y301" t="s">
        <v>699</v>
      </c>
      <c r="AA301" t="s">
        <v>419</v>
      </c>
      <c r="AB301">
        <v>0</v>
      </c>
      <c r="AK301" t="s">
        <v>642</v>
      </c>
      <c r="AL301" t="s">
        <v>670</v>
      </c>
    </row>
    <row r="302" spans="1:39">
      <c r="A302" s="146">
        <v>46188.910810185182</v>
      </c>
      <c r="B302" s="146">
        <v>46188</v>
      </c>
      <c r="C302">
        <v>2222785</v>
      </c>
      <c r="D302" t="s">
        <v>399</v>
      </c>
      <c r="E302" t="s">
        <v>643</v>
      </c>
      <c r="F302" t="s">
        <v>650</v>
      </c>
      <c r="G302" t="s">
        <v>493</v>
      </c>
      <c r="H302" t="s">
        <v>641</v>
      </c>
      <c r="I302" t="s">
        <v>99</v>
      </c>
      <c r="J302">
        <v>440</v>
      </c>
      <c r="K302" s="141">
        <v>61.335999999999999</v>
      </c>
      <c r="L302">
        <v>0</v>
      </c>
      <c r="M302">
        <v>0</v>
      </c>
      <c r="N302">
        <v>61.335999999999999</v>
      </c>
      <c r="O302" t="s">
        <v>669</v>
      </c>
      <c r="P302">
        <v>0</v>
      </c>
      <c r="Q302" t="s">
        <v>669</v>
      </c>
      <c r="S302">
        <v>0</v>
      </c>
      <c r="T302">
        <v>0.7</v>
      </c>
      <c r="U302">
        <v>10</v>
      </c>
      <c r="V302">
        <v>1.0476190476190477</v>
      </c>
      <c r="W302" t="s">
        <v>658</v>
      </c>
      <c r="X302" t="s">
        <v>657</v>
      </c>
      <c r="Y302" t="s">
        <v>700</v>
      </c>
      <c r="AA302" t="s">
        <v>419</v>
      </c>
      <c r="AB302">
        <v>0</v>
      </c>
      <c r="AG302">
        <v>1</v>
      </c>
      <c r="AH302">
        <v>440</v>
      </c>
      <c r="AK302" t="s">
        <v>642</v>
      </c>
      <c r="AL302" t="s">
        <v>290</v>
      </c>
      <c r="AM302">
        <v>2</v>
      </c>
    </row>
    <row r="303" spans="1:39">
      <c r="A303" s="146">
        <v>46188.911840277775</v>
      </c>
      <c r="B303" s="146">
        <v>46188</v>
      </c>
      <c r="C303">
        <v>2222785</v>
      </c>
      <c r="D303" t="s">
        <v>399</v>
      </c>
      <c r="E303" t="s">
        <v>643</v>
      </c>
      <c r="F303" t="s">
        <v>650</v>
      </c>
      <c r="G303" t="s">
        <v>675</v>
      </c>
      <c r="H303" t="s">
        <v>641</v>
      </c>
      <c r="I303" t="s">
        <v>98</v>
      </c>
      <c r="J303">
        <v>3020</v>
      </c>
      <c r="K303" s="141">
        <v>54.058</v>
      </c>
      <c r="L303">
        <v>0</v>
      </c>
      <c r="M303">
        <v>0</v>
      </c>
      <c r="N303">
        <v>54.058</v>
      </c>
      <c r="O303" t="s">
        <v>669</v>
      </c>
      <c r="P303">
        <v>0</v>
      </c>
      <c r="Q303" t="s">
        <v>669</v>
      </c>
      <c r="S303">
        <v>0</v>
      </c>
      <c r="T303">
        <v>1</v>
      </c>
      <c r="U303">
        <v>50</v>
      </c>
      <c r="V303">
        <v>1.0066666666666666</v>
      </c>
      <c r="W303" t="s">
        <v>658</v>
      </c>
      <c r="X303" t="s">
        <v>657</v>
      </c>
      <c r="Y303" t="s">
        <v>701</v>
      </c>
      <c r="AA303" t="s">
        <v>419</v>
      </c>
      <c r="AB303">
        <v>0</v>
      </c>
      <c r="AG303">
        <v>1</v>
      </c>
      <c r="AH303">
        <v>3020</v>
      </c>
      <c r="AK303" t="s">
        <v>642</v>
      </c>
      <c r="AL303" t="s">
        <v>290</v>
      </c>
      <c r="AM303">
        <v>2</v>
      </c>
    </row>
    <row r="304" spans="1:39">
      <c r="A304" s="146">
        <v>46189.163715277777</v>
      </c>
      <c r="B304" s="146">
        <v>46188</v>
      </c>
      <c r="C304">
        <v>2021645</v>
      </c>
      <c r="D304" t="s">
        <v>629</v>
      </c>
      <c r="E304" t="s">
        <v>653</v>
      </c>
      <c r="F304" t="s">
        <v>650</v>
      </c>
      <c r="G304" t="s">
        <v>702</v>
      </c>
      <c r="H304" t="s">
        <v>641</v>
      </c>
      <c r="I304" t="s">
        <v>87</v>
      </c>
      <c r="J304">
        <v>3210</v>
      </c>
      <c r="K304" s="141">
        <v>27.927</v>
      </c>
      <c r="O304" t="s">
        <v>686</v>
      </c>
      <c r="P304">
        <v>0</v>
      </c>
      <c r="Q304" t="s">
        <v>686</v>
      </c>
      <c r="U304">
        <v>70</v>
      </c>
      <c r="W304" t="s">
        <v>658</v>
      </c>
      <c r="X304" t="s">
        <v>657</v>
      </c>
      <c r="Y304" t="s">
        <v>703</v>
      </c>
      <c r="AA304" t="s">
        <v>419</v>
      </c>
      <c r="AB304">
        <v>0</v>
      </c>
      <c r="AK304" t="s">
        <v>642</v>
      </c>
      <c r="AL304" t="s">
        <v>290</v>
      </c>
    </row>
    <row r="305" spans="1:39">
      <c r="A305" s="146">
        <v>46189.217974537038</v>
      </c>
      <c r="B305" s="146">
        <v>46188</v>
      </c>
      <c r="C305">
        <v>2223535</v>
      </c>
      <c r="D305" t="s">
        <v>400</v>
      </c>
      <c r="E305" t="s">
        <v>653</v>
      </c>
      <c r="F305" t="s">
        <v>650</v>
      </c>
      <c r="G305" t="s">
        <v>230</v>
      </c>
      <c r="H305" t="s">
        <v>641</v>
      </c>
      <c r="I305" t="s">
        <v>86</v>
      </c>
      <c r="J305">
        <v>3210</v>
      </c>
      <c r="K305" s="141">
        <v>27.927</v>
      </c>
      <c r="O305" t="s">
        <v>676</v>
      </c>
      <c r="P305">
        <v>0</v>
      </c>
      <c r="Q305" t="s">
        <v>676</v>
      </c>
      <c r="R305" t="s">
        <v>704</v>
      </c>
      <c r="U305">
        <v>60</v>
      </c>
      <c r="W305" t="s">
        <v>658</v>
      </c>
      <c r="X305" t="s">
        <v>657</v>
      </c>
      <c r="Y305" t="s">
        <v>705</v>
      </c>
      <c r="AA305" t="s">
        <v>647</v>
      </c>
      <c r="AB305">
        <v>0</v>
      </c>
      <c r="AK305" t="s">
        <v>642</v>
      </c>
      <c r="AL305" t="s">
        <v>290</v>
      </c>
    </row>
    <row r="306" spans="1:39">
      <c r="A306" s="146">
        <v>46189.219780092593</v>
      </c>
      <c r="B306" s="146">
        <v>46188</v>
      </c>
      <c r="C306">
        <v>2223535</v>
      </c>
      <c r="D306" t="s">
        <v>400</v>
      </c>
      <c r="E306" t="s">
        <v>653</v>
      </c>
      <c r="F306" t="s">
        <v>650</v>
      </c>
      <c r="G306" t="s">
        <v>230</v>
      </c>
      <c r="H306" t="s">
        <v>641</v>
      </c>
      <c r="I306" t="s">
        <v>86</v>
      </c>
      <c r="J306">
        <v>3210</v>
      </c>
      <c r="K306" s="141">
        <v>27.927</v>
      </c>
      <c r="O306" t="s">
        <v>676</v>
      </c>
      <c r="P306">
        <v>0</v>
      </c>
      <c r="Q306" t="s">
        <v>676</v>
      </c>
      <c r="U306">
        <v>60</v>
      </c>
      <c r="W306" t="s">
        <v>658</v>
      </c>
      <c r="X306" t="s">
        <v>657</v>
      </c>
      <c r="Y306" t="s">
        <v>706</v>
      </c>
      <c r="AA306" t="s">
        <v>647</v>
      </c>
      <c r="AB306">
        <v>0</v>
      </c>
      <c r="AK306" t="s">
        <v>642</v>
      </c>
      <c r="AL306" t="s">
        <v>290</v>
      </c>
    </row>
    <row r="307" spans="1:39">
      <c r="A307" s="146">
        <v>46189.224942129629</v>
      </c>
      <c r="B307" s="146">
        <v>46188</v>
      </c>
      <c r="C307">
        <v>2223535</v>
      </c>
      <c r="D307" t="s">
        <v>400</v>
      </c>
      <c r="E307" t="s">
        <v>653</v>
      </c>
      <c r="F307" t="s">
        <v>650</v>
      </c>
      <c r="G307" t="s">
        <v>230</v>
      </c>
      <c r="H307" t="s">
        <v>641</v>
      </c>
      <c r="I307" t="s">
        <v>86</v>
      </c>
      <c r="J307">
        <v>3210</v>
      </c>
      <c r="K307" s="141">
        <v>27.927</v>
      </c>
      <c r="O307" t="s">
        <v>676</v>
      </c>
      <c r="P307">
        <v>0</v>
      </c>
      <c r="Q307" t="s">
        <v>676</v>
      </c>
      <c r="U307">
        <v>60</v>
      </c>
      <c r="W307" t="s">
        <v>658</v>
      </c>
      <c r="X307" t="s">
        <v>657</v>
      </c>
      <c r="Y307" t="s">
        <v>707</v>
      </c>
      <c r="AA307" t="s">
        <v>647</v>
      </c>
      <c r="AB307">
        <v>0</v>
      </c>
      <c r="AK307" t="s">
        <v>642</v>
      </c>
      <c r="AL307" t="s">
        <v>290</v>
      </c>
    </row>
    <row r="308" spans="1:39">
      <c r="A308" s="146">
        <v>46189.237268518518</v>
      </c>
      <c r="B308" s="146">
        <v>46188</v>
      </c>
      <c r="C308">
        <v>2241656</v>
      </c>
      <c r="D308" t="s">
        <v>409</v>
      </c>
      <c r="E308" t="s">
        <v>653</v>
      </c>
      <c r="F308" t="s">
        <v>650</v>
      </c>
      <c r="G308" t="s">
        <v>675</v>
      </c>
      <c r="H308" t="s">
        <v>641</v>
      </c>
      <c r="I308" t="s">
        <v>90</v>
      </c>
      <c r="J308">
        <v>1510</v>
      </c>
      <c r="K308" s="141">
        <v>27.029</v>
      </c>
      <c r="O308" t="s">
        <v>708</v>
      </c>
      <c r="P308">
        <v>0</v>
      </c>
      <c r="Q308" t="s">
        <v>708</v>
      </c>
      <c r="U308">
        <v>40</v>
      </c>
      <c r="W308" t="s">
        <v>658</v>
      </c>
      <c r="X308" t="s">
        <v>657</v>
      </c>
      <c r="Y308" t="s">
        <v>709</v>
      </c>
      <c r="AA308" t="s">
        <v>419</v>
      </c>
      <c r="AB308">
        <v>0</v>
      </c>
      <c r="AK308" t="s">
        <v>642</v>
      </c>
      <c r="AL308" t="s">
        <v>290</v>
      </c>
    </row>
    <row r="309" spans="1:39">
      <c r="A309" s="146">
        <v>46189.237951388888</v>
      </c>
      <c r="B309" s="146">
        <v>46188</v>
      </c>
      <c r="C309">
        <v>2241656</v>
      </c>
      <c r="D309" t="s">
        <v>409</v>
      </c>
      <c r="E309" t="s">
        <v>653</v>
      </c>
      <c r="F309" t="s">
        <v>650</v>
      </c>
      <c r="G309" t="s">
        <v>216</v>
      </c>
      <c r="H309" t="s">
        <v>641</v>
      </c>
      <c r="I309" t="s">
        <v>95</v>
      </c>
      <c r="J309">
        <v>1220</v>
      </c>
      <c r="K309" s="141">
        <v>62.951999999999998</v>
      </c>
      <c r="O309" t="s">
        <v>708</v>
      </c>
      <c r="P309">
        <v>0</v>
      </c>
      <c r="Q309" t="s">
        <v>708</v>
      </c>
      <c r="U309">
        <v>27</v>
      </c>
      <c r="W309" t="s">
        <v>658</v>
      </c>
      <c r="X309" t="s">
        <v>657</v>
      </c>
      <c r="Y309" t="s">
        <v>710</v>
      </c>
      <c r="AA309" t="s">
        <v>419</v>
      </c>
      <c r="AB309">
        <v>0</v>
      </c>
      <c r="AK309" t="s">
        <v>642</v>
      </c>
      <c r="AL309" t="s">
        <v>290</v>
      </c>
    </row>
    <row r="310" spans="1:39">
      <c r="A310" s="146">
        <v>46189.238668981481</v>
      </c>
      <c r="B310" s="146">
        <v>46188</v>
      </c>
      <c r="C310">
        <v>2241656</v>
      </c>
      <c r="D310" t="s">
        <v>409</v>
      </c>
      <c r="E310" t="s">
        <v>653</v>
      </c>
      <c r="F310" t="s">
        <v>654</v>
      </c>
      <c r="G310" t="s">
        <v>233</v>
      </c>
      <c r="H310" t="s">
        <v>641</v>
      </c>
      <c r="I310" t="s">
        <v>95</v>
      </c>
      <c r="J310">
        <v>0</v>
      </c>
      <c r="K310" s="141">
        <v>0</v>
      </c>
      <c r="L310">
        <v>0</v>
      </c>
      <c r="M310">
        <v>0</v>
      </c>
      <c r="N310">
        <v>0</v>
      </c>
      <c r="O310" t="s">
        <v>708</v>
      </c>
      <c r="P310">
        <v>0</v>
      </c>
      <c r="Q310" t="s">
        <v>708</v>
      </c>
      <c r="S310">
        <v>0</v>
      </c>
      <c r="T310">
        <v>1.5</v>
      </c>
      <c r="U310">
        <v>27</v>
      </c>
      <c r="V310">
        <v>0</v>
      </c>
      <c r="W310" t="s">
        <v>658</v>
      </c>
      <c r="X310" t="s">
        <v>657</v>
      </c>
      <c r="Y310" t="s">
        <v>711</v>
      </c>
      <c r="AA310" t="s">
        <v>419</v>
      </c>
      <c r="AB310">
        <v>0</v>
      </c>
      <c r="AK310" t="s">
        <v>642</v>
      </c>
      <c r="AL310" t="s">
        <v>290</v>
      </c>
      <c r="AM310">
        <v>2</v>
      </c>
    </row>
    <row r="311" spans="1:39">
      <c r="A311" s="146">
        <v>46189.238668981481</v>
      </c>
      <c r="B311" s="146">
        <v>46188</v>
      </c>
      <c r="C311">
        <v>2241656</v>
      </c>
      <c r="D311" t="s">
        <v>409</v>
      </c>
      <c r="E311" t="s">
        <v>653</v>
      </c>
      <c r="F311" t="s">
        <v>650</v>
      </c>
      <c r="G311" t="s">
        <v>233</v>
      </c>
      <c r="H311" t="s">
        <v>641</v>
      </c>
      <c r="I311" t="s">
        <v>95</v>
      </c>
      <c r="J311">
        <v>2440</v>
      </c>
      <c r="K311" s="141">
        <v>125.904</v>
      </c>
      <c r="O311" t="s">
        <v>708</v>
      </c>
      <c r="P311">
        <v>0</v>
      </c>
      <c r="Q311" t="s">
        <v>708</v>
      </c>
      <c r="U311">
        <v>27</v>
      </c>
      <c r="W311" t="s">
        <v>658</v>
      </c>
      <c r="X311" t="s">
        <v>657</v>
      </c>
      <c r="Y311" t="s">
        <v>711</v>
      </c>
      <c r="AA311" t="s">
        <v>419</v>
      </c>
      <c r="AB311">
        <v>0</v>
      </c>
      <c r="AK311" t="s">
        <v>642</v>
      </c>
      <c r="AL311" t="s">
        <v>290</v>
      </c>
    </row>
    <row r="312" spans="1:39">
      <c r="A312" s="146">
        <v>46189.241793981484</v>
      </c>
      <c r="B312" s="146">
        <v>46188</v>
      </c>
      <c r="C312">
        <v>2241656</v>
      </c>
      <c r="D312" t="s">
        <v>409</v>
      </c>
      <c r="E312" t="s">
        <v>653</v>
      </c>
      <c r="F312" t="s">
        <v>650</v>
      </c>
      <c r="G312" t="s">
        <v>675</v>
      </c>
      <c r="H312" t="s">
        <v>641</v>
      </c>
      <c r="I312" t="s">
        <v>90</v>
      </c>
      <c r="J312">
        <v>1510</v>
      </c>
      <c r="K312" s="141">
        <v>27.029</v>
      </c>
      <c r="O312" t="s">
        <v>708</v>
      </c>
      <c r="P312">
        <v>0</v>
      </c>
      <c r="Q312" t="s">
        <v>708</v>
      </c>
      <c r="U312">
        <v>40</v>
      </c>
      <c r="W312" t="s">
        <v>658</v>
      </c>
      <c r="X312" t="s">
        <v>657</v>
      </c>
      <c r="Y312" t="s">
        <v>712</v>
      </c>
      <c r="AA312" t="s">
        <v>419</v>
      </c>
      <c r="AB312">
        <v>0</v>
      </c>
      <c r="AK312" t="s">
        <v>642</v>
      </c>
      <c r="AL312" t="s">
        <v>290</v>
      </c>
    </row>
    <row r="313" spans="1:39">
      <c r="A313" s="146">
        <v>46189.515543981484</v>
      </c>
      <c r="B313" s="146">
        <v>46189</v>
      </c>
      <c r="C313">
        <v>2325295</v>
      </c>
      <c r="D313" t="s">
        <v>411</v>
      </c>
      <c r="E313" t="s">
        <v>659</v>
      </c>
      <c r="F313" t="s">
        <v>650</v>
      </c>
      <c r="G313" t="s">
        <v>675</v>
      </c>
      <c r="H313" t="s">
        <v>641</v>
      </c>
      <c r="I313" t="s">
        <v>90</v>
      </c>
      <c r="J313">
        <v>1515</v>
      </c>
      <c r="K313" s="141">
        <v>27.118499999999997</v>
      </c>
      <c r="O313" t="s">
        <v>708</v>
      </c>
      <c r="P313">
        <v>0</v>
      </c>
      <c r="Q313" t="s">
        <v>708</v>
      </c>
      <c r="U313">
        <v>40</v>
      </c>
      <c r="W313" t="s">
        <v>658</v>
      </c>
      <c r="X313" t="s">
        <v>657</v>
      </c>
      <c r="Y313" t="s">
        <v>713</v>
      </c>
      <c r="AA313" t="s">
        <v>419</v>
      </c>
      <c r="AB313">
        <v>0</v>
      </c>
      <c r="AK313" t="s">
        <v>642</v>
      </c>
      <c r="AL313" t="s">
        <v>290</v>
      </c>
    </row>
    <row r="314" spans="1:39">
      <c r="A314" s="146">
        <v>46189.518310185187</v>
      </c>
      <c r="B314" s="146">
        <v>46189</v>
      </c>
      <c r="C314">
        <v>2325295</v>
      </c>
      <c r="D314" t="s">
        <v>411</v>
      </c>
      <c r="E314" t="s">
        <v>659</v>
      </c>
      <c r="F314" t="s">
        <v>650</v>
      </c>
      <c r="G314" t="s">
        <v>675</v>
      </c>
      <c r="H314" t="s">
        <v>641</v>
      </c>
      <c r="I314" t="s">
        <v>90</v>
      </c>
      <c r="J314">
        <v>1515</v>
      </c>
      <c r="K314" s="141">
        <v>27.118499999999997</v>
      </c>
      <c r="O314" t="s">
        <v>708</v>
      </c>
      <c r="P314">
        <v>0</v>
      </c>
      <c r="Q314" t="s">
        <v>708</v>
      </c>
      <c r="U314">
        <v>40</v>
      </c>
      <c r="W314" t="s">
        <v>658</v>
      </c>
      <c r="X314" t="s">
        <v>657</v>
      </c>
      <c r="Y314" t="s">
        <v>714</v>
      </c>
      <c r="AA314" t="s">
        <v>419</v>
      </c>
      <c r="AB314">
        <v>0</v>
      </c>
      <c r="AK314" t="s">
        <v>642</v>
      </c>
      <c r="AL314" t="s">
        <v>290</v>
      </c>
    </row>
    <row r="315" spans="1:39">
      <c r="A315" s="146">
        <v>46189.520509259259</v>
      </c>
      <c r="B315" s="146">
        <v>46189</v>
      </c>
      <c r="C315">
        <v>2325295</v>
      </c>
      <c r="D315" t="s">
        <v>411</v>
      </c>
      <c r="E315" t="s">
        <v>659</v>
      </c>
      <c r="F315" t="s">
        <v>650</v>
      </c>
      <c r="G315" t="s">
        <v>715</v>
      </c>
      <c r="H315" t="s">
        <v>641</v>
      </c>
      <c r="I315" t="s">
        <v>90</v>
      </c>
      <c r="J315">
        <v>1515</v>
      </c>
      <c r="K315" s="141">
        <v>27.118499999999997</v>
      </c>
      <c r="O315" t="s">
        <v>708</v>
      </c>
      <c r="P315">
        <v>0</v>
      </c>
      <c r="Q315" t="s">
        <v>708</v>
      </c>
      <c r="U315">
        <v>40</v>
      </c>
      <c r="W315" t="s">
        <v>658</v>
      </c>
      <c r="X315" t="s">
        <v>657</v>
      </c>
      <c r="Y315" t="s">
        <v>716</v>
      </c>
      <c r="AA315" t="s">
        <v>419</v>
      </c>
      <c r="AB315">
        <v>0</v>
      </c>
      <c r="AK315" t="s">
        <v>642</v>
      </c>
      <c r="AL315" t="s">
        <v>290</v>
      </c>
    </row>
    <row r="316" spans="1:39">
      <c r="A316" s="146">
        <v>46189.527303240742</v>
      </c>
      <c r="B316" s="146">
        <v>46189</v>
      </c>
      <c r="C316">
        <v>1921551</v>
      </c>
      <c r="D316" t="s">
        <v>411</v>
      </c>
      <c r="E316" t="s">
        <v>659</v>
      </c>
      <c r="F316" t="s">
        <v>650</v>
      </c>
      <c r="G316" t="s">
        <v>225</v>
      </c>
      <c r="H316" t="s">
        <v>641</v>
      </c>
      <c r="I316" t="s">
        <v>88</v>
      </c>
      <c r="J316">
        <v>2890</v>
      </c>
      <c r="K316" s="141">
        <v>27.118499999999997</v>
      </c>
      <c r="O316" t="s">
        <v>651</v>
      </c>
      <c r="P316">
        <v>1</v>
      </c>
      <c r="Q316" t="s">
        <v>651</v>
      </c>
      <c r="U316">
        <v>30</v>
      </c>
      <c r="W316" t="s">
        <v>658</v>
      </c>
      <c r="X316" t="s">
        <v>657</v>
      </c>
      <c r="Y316" t="s">
        <v>717</v>
      </c>
      <c r="AA316" t="s">
        <v>419</v>
      </c>
      <c r="AB316">
        <v>0</v>
      </c>
      <c r="AK316" t="s">
        <v>642</v>
      </c>
      <c r="AL316" t="s">
        <v>290</v>
      </c>
    </row>
    <row r="317" spans="1:39">
      <c r="A317" s="146">
        <v>46189.549791666665</v>
      </c>
      <c r="B317" s="146">
        <v>46189</v>
      </c>
      <c r="C317">
        <v>2020965</v>
      </c>
      <c r="D317" t="s">
        <v>386</v>
      </c>
      <c r="E317" t="s">
        <v>659</v>
      </c>
      <c r="F317" t="s">
        <v>650</v>
      </c>
      <c r="G317" t="s">
        <v>667</v>
      </c>
      <c r="H317" t="s">
        <v>641</v>
      </c>
      <c r="I317" t="s">
        <v>727</v>
      </c>
      <c r="J317">
        <v>6820</v>
      </c>
      <c r="K317" s="141">
        <v>137.08199999999999</v>
      </c>
      <c r="O317" t="s">
        <v>718</v>
      </c>
      <c r="P317">
        <v>0</v>
      </c>
      <c r="Q317" t="s">
        <v>718</v>
      </c>
      <c r="U317">
        <v>45</v>
      </c>
      <c r="W317" t="s">
        <v>658</v>
      </c>
      <c r="X317" t="s">
        <v>657</v>
      </c>
      <c r="Y317" t="s">
        <v>719</v>
      </c>
      <c r="AA317" t="s">
        <v>647</v>
      </c>
      <c r="AB317">
        <v>0</v>
      </c>
      <c r="AK317" t="s">
        <v>642</v>
      </c>
      <c r="AL317" t="s">
        <v>290</v>
      </c>
    </row>
    <row r="318" spans="1:39">
      <c r="A318" s="146">
        <v>46189.565763888888</v>
      </c>
      <c r="B318" s="146">
        <v>46189</v>
      </c>
      <c r="C318">
        <v>2325365</v>
      </c>
      <c r="D318" t="s">
        <v>414</v>
      </c>
      <c r="E318" t="s">
        <v>659</v>
      </c>
      <c r="F318" t="s">
        <v>650</v>
      </c>
      <c r="G318" t="s">
        <v>222</v>
      </c>
      <c r="H318" t="s">
        <v>641</v>
      </c>
      <c r="I318" t="s">
        <v>98</v>
      </c>
      <c r="J318">
        <v>5930</v>
      </c>
      <c r="K318" s="141">
        <v>106.14699999999999</v>
      </c>
      <c r="O318" t="s">
        <v>718</v>
      </c>
      <c r="P318">
        <v>0</v>
      </c>
      <c r="Q318" t="s">
        <v>718</v>
      </c>
      <c r="U318">
        <v>50</v>
      </c>
      <c r="W318" t="s">
        <v>658</v>
      </c>
      <c r="X318" t="s">
        <v>657</v>
      </c>
      <c r="Y318" t="s">
        <v>722</v>
      </c>
      <c r="AA318" t="s">
        <v>647</v>
      </c>
      <c r="AB318">
        <v>0</v>
      </c>
      <c r="AK318" t="s">
        <v>642</v>
      </c>
      <c r="AL318" t="s">
        <v>290</v>
      </c>
    </row>
    <row r="319" spans="1:39">
      <c r="A319" s="146">
        <v>46189.570474537039</v>
      </c>
      <c r="B319" s="146">
        <v>46189</v>
      </c>
      <c r="C319">
        <v>2022158</v>
      </c>
      <c r="D319" t="s">
        <v>394</v>
      </c>
      <c r="E319" t="s">
        <v>659</v>
      </c>
      <c r="F319" t="s">
        <v>650</v>
      </c>
      <c r="G319" t="s">
        <v>237</v>
      </c>
      <c r="H319" t="s">
        <v>641</v>
      </c>
      <c r="I319" t="s">
        <v>725</v>
      </c>
      <c r="J319">
        <v>1230</v>
      </c>
      <c r="K319" s="141">
        <v>171.46199999999999</v>
      </c>
      <c r="O319" t="s">
        <v>723</v>
      </c>
      <c r="P319">
        <v>0</v>
      </c>
      <c r="Q319" t="s">
        <v>723</v>
      </c>
      <c r="U319">
        <v>10</v>
      </c>
      <c r="W319" t="s">
        <v>658</v>
      </c>
      <c r="X319" t="s">
        <v>657</v>
      </c>
      <c r="Y319" t="s">
        <v>724</v>
      </c>
      <c r="AA319" t="s">
        <v>419</v>
      </c>
      <c r="AB319">
        <v>0</v>
      </c>
      <c r="AK319" t="s">
        <v>642</v>
      </c>
      <c r="AL319" t="s">
        <v>59</v>
      </c>
    </row>
    <row r="320" spans="1:39">
      <c r="A320" s="146">
        <v>46189.549791666665</v>
      </c>
      <c r="B320" s="146">
        <v>46189</v>
      </c>
      <c r="C320">
        <v>2020965</v>
      </c>
      <c r="D320" t="s">
        <v>386</v>
      </c>
      <c r="E320" t="s">
        <v>659</v>
      </c>
      <c r="F320" t="s">
        <v>650</v>
      </c>
      <c r="G320" t="s">
        <v>469</v>
      </c>
      <c r="H320" t="s">
        <v>641</v>
      </c>
      <c r="I320" t="s">
        <v>726</v>
      </c>
      <c r="J320">
        <v>6820</v>
      </c>
      <c r="K320" s="141">
        <v>137.08199999999999</v>
      </c>
      <c r="O320" t="s">
        <v>718</v>
      </c>
      <c r="P320">
        <v>0</v>
      </c>
      <c r="Q320" t="s">
        <v>718</v>
      </c>
      <c r="U320">
        <v>45</v>
      </c>
      <c r="W320" t="s">
        <v>658</v>
      </c>
      <c r="X320" t="s">
        <v>657</v>
      </c>
      <c r="Y320" t="s">
        <v>719</v>
      </c>
      <c r="AA320" t="s">
        <v>647</v>
      </c>
      <c r="AB320">
        <v>0</v>
      </c>
      <c r="AK320" t="s">
        <v>642</v>
      </c>
      <c r="AL320" t="s">
        <v>290</v>
      </c>
    </row>
    <row r="321" spans="1:39">
      <c r="A321" s="146">
        <v>46189.64806712963</v>
      </c>
      <c r="B321" s="146">
        <v>46189</v>
      </c>
      <c r="C321">
        <v>2243991</v>
      </c>
      <c r="D321" t="s">
        <v>410</v>
      </c>
      <c r="E321" t="s">
        <v>643</v>
      </c>
      <c r="F321" t="s">
        <v>650</v>
      </c>
      <c r="G321" t="s">
        <v>225</v>
      </c>
      <c r="H321" t="s">
        <v>641</v>
      </c>
      <c r="I321" t="s">
        <v>88</v>
      </c>
      <c r="J321">
        <v>1480</v>
      </c>
      <c r="K321" s="141">
        <v>51.652000000000001</v>
      </c>
      <c r="O321" t="s">
        <v>723</v>
      </c>
      <c r="P321">
        <v>0</v>
      </c>
      <c r="Q321" t="s">
        <v>723</v>
      </c>
      <c r="U321">
        <v>30</v>
      </c>
      <c r="W321" t="s">
        <v>658</v>
      </c>
      <c r="X321" t="s">
        <v>657</v>
      </c>
      <c r="Y321" t="s">
        <v>728</v>
      </c>
      <c r="AA321" t="s">
        <v>419</v>
      </c>
      <c r="AB321">
        <v>0</v>
      </c>
      <c r="AK321" t="s">
        <v>642</v>
      </c>
      <c r="AL321" t="s">
        <v>59</v>
      </c>
    </row>
    <row r="322" spans="1:39">
      <c r="A322" s="146">
        <v>46189.701909722222</v>
      </c>
      <c r="B322" s="146">
        <v>46189</v>
      </c>
      <c r="C322">
        <v>2243991</v>
      </c>
      <c r="D322" t="s">
        <v>410</v>
      </c>
      <c r="E322" t="s">
        <v>643</v>
      </c>
      <c r="F322" t="s">
        <v>650</v>
      </c>
      <c r="G322" t="s">
        <v>469</v>
      </c>
      <c r="H322" t="s">
        <v>641</v>
      </c>
      <c r="I322" t="s">
        <v>96</v>
      </c>
      <c r="J322">
        <v>2210</v>
      </c>
      <c r="K322" s="141">
        <v>44.420999999999999</v>
      </c>
      <c r="O322" t="s">
        <v>723</v>
      </c>
      <c r="P322">
        <v>0</v>
      </c>
      <c r="Q322" t="s">
        <v>723</v>
      </c>
      <c r="U322">
        <v>45</v>
      </c>
      <c r="W322" t="s">
        <v>658</v>
      </c>
      <c r="X322" t="s">
        <v>657</v>
      </c>
      <c r="Y322" t="s">
        <v>729</v>
      </c>
      <c r="AA322" t="s">
        <v>419</v>
      </c>
      <c r="AB322">
        <v>0</v>
      </c>
      <c r="AK322" t="s">
        <v>642</v>
      </c>
      <c r="AL322" t="s">
        <v>290</v>
      </c>
    </row>
    <row r="323" spans="1:39">
      <c r="A323" s="146">
        <v>46189.778819444444</v>
      </c>
      <c r="B323" s="146">
        <v>46189</v>
      </c>
      <c r="C323">
        <v>2222785</v>
      </c>
      <c r="D323" t="s">
        <v>399</v>
      </c>
      <c r="E323" t="s">
        <v>643</v>
      </c>
      <c r="F323" t="s">
        <v>654</v>
      </c>
      <c r="G323" t="s">
        <v>493</v>
      </c>
      <c r="H323" t="s">
        <v>641</v>
      </c>
      <c r="I323" t="s">
        <v>99</v>
      </c>
      <c r="J323">
        <v>660</v>
      </c>
      <c r="K323" s="141">
        <v>92.003999999999991</v>
      </c>
      <c r="L323">
        <v>50</v>
      </c>
      <c r="M323">
        <v>0</v>
      </c>
      <c r="N323">
        <v>92.003999999999991</v>
      </c>
      <c r="O323" t="s">
        <v>723</v>
      </c>
      <c r="P323">
        <v>0</v>
      </c>
      <c r="Q323" t="s">
        <v>723</v>
      </c>
      <c r="S323">
        <v>0</v>
      </c>
      <c r="T323">
        <v>2.2000000000000002</v>
      </c>
      <c r="U323">
        <v>10</v>
      </c>
      <c r="V323">
        <v>0.5</v>
      </c>
      <c r="W323" t="s">
        <v>658</v>
      </c>
      <c r="X323" t="s">
        <v>657</v>
      </c>
      <c r="Y323" t="s">
        <v>730</v>
      </c>
      <c r="AA323" t="s">
        <v>419</v>
      </c>
      <c r="AB323">
        <v>0</v>
      </c>
      <c r="AG323">
        <v>2</v>
      </c>
      <c r="AH323">
        <v>660</v>
      </c>
      <c r="AK323" t="s">
        <v>642</v>
      </c>
      <c r="AL323" t="s">
        <v>290</v>
      </c>
      <c r="AM323">
        <v>2</v>
      </c>
    </row>
    <row r="324" spans="1:39">
      <c r="A324" s="146">
        <v>46189.780185185184</v>
      </c>
      <c r="B324" s="146">
        <v>46189</v>
      </c>
      <c r="C324">
        <v>2222785</v>
      </c>
      <c r="D324" t="s">
        <v>399</v>
      </c>
      <c r="E324" t="s">
        <v>643</v>
      </c>
      <c r="F324" t="s">
        <v>654</v>
      </c>
      <c r="G324" t="s">
        <v>731</v>
      </c>
      <c r="H324" t="s">
        <v>641</v>
      </c>
      <c r="I324" t="s">
        <v>99</v>
      </c>
      <c r="J324">
        <v>220</v>
      </c>
      <c r="K324" s="141">
        <v>30.667999999999999</v>
      </c>
      <c r="L324">
        <v>5</v>
      </c>
      <c r="M324">
        <v>0</v>
      </c>
      <c r="N324">
        <v>30.667999999999999</v>
      </c>
      <c r="O324" t="s">
        <v>723</v>
      </c>
      <c r="P324">
        <v>0</v>
      </c>
      <c r="Q324" t="s">
        <v>723</v>
      </c>
      <c r="S324">
        <v>0</v>
      </c>
      <c r="T324">
        <v>0.8</v>
      </c>
      <c r="U324">
        <v>10</v>
      </c>
      <c r="V324">
        <v>0.45833333333333331</v>
      </c>
      <c r="W324" t="s">
        <v>658</v>
      </c>
      <c r="X324" t="s">
        <v>657</v>
      </c>
      <c r="Y324" t="s">
        <v>732</v>
      </c>
      <c r="AA324" t="s">
        <v>419</v>
      </c>
      <c r="AB324">
        <v>0</v>
      </c>
      <c r="AG324">
        <v>1</v>
      </c>
      <c r="AH324">
        <v>220</v>
      </c>
      <c r="AK324" t="s">
        <v>642</v>
      </c>
      <c r="AL324" t="s">
        <v>290</v>
      </c>
      <c r="AM324">
        <v>2</v>
      </c>
    </row>
    <row r="325" spans="1:39">
      <c r="A325" s="146">
        <v>46189.835347222222</v>
      </c>
      <c r="B325" s="146">
        <v>46189</v>
      </c>
      <c r="C325">
        <v>2325374</v>
      </c>
      <c r="D325" t="s">
        <v>415</v>
      </c>
      <c r="E325" t="s">
        <v>643</v>
      </c>
      <c r="F325" t="s">
        <v>650</v>
      </c>
      <c r="G325" t="s">
        <v>216</v>
      </c>
      <c r="H325" t="s">
        <v>641</v>
      </c>
      <c r="I325" t="s">
        <v>95</v>
      </c>
      <c r="J325">
        <v>1230</v>
      </c>
      <c r="K325" s="141">
        <v>63.468000000000004</v>
      </c>
      <c r="O325" t="s">
        <v>733</v>
      </c>
      <c r="P325">
        <v>0</v>
      </c>
      <c r="Q325" t="s">
        <v>733</v>
      </c>
      <c r="R325" t="s">
        <v>734</v>
      </c>
      <c r="U325">
        <v>27</v>
      </c>
      <c r="W325" t="s">
        <v>658</v>
      </c>
      <c r="X325" t="s">
        <v>657</v>
      </c>
      <c r="Y325" t="s">
        <v>735</v>
      </c>
      <c r="AA325" t="s">
        <v>419</v>
      </c>
      <c r="AB325">
        <v>0</v>
      </c>
      <c r="AK325" t="s">
        <v>642</v>
      </c>
      <c r="AL325" t="s">
        <v>290</v>
      </c>
    </row>
    <row r="326" spans="1:39">
      <c r="A326" s="146">
        <v>46189.840671296297</v>
      </c>
      <c r="B326" s="146">
        <v>46189</v>
      </c>
      <c r="C326">
        <v>2243991</v>
      </c>
      <c r="D326" t="s">
        <v>410</v>
      </c>
      <c r="E326" t="s">
        <v>643</v>
      </c>
      <c r="F326" t="s">
        <v>654</v>
      </c>
      <c r="G326" t="s">
        <v>225</v>
      </c>
      <c r="H326" t="s">
        <v>641</v>
      </c>
      <c r="I326" t="s">
        <v>88</v>
      </c>
      <c r="J326">
        <v>2790</v>
      </c>
      <c r="K326" s="141">
        <v>97.370999999999995</v>
      </c>
      <c r="L326">
        <v>0</v>
      </c>
      <c r="M326">
        <v>0</v>
      </c>
      <c r="N326">
        <v>97.370999999999995</v>
      </c>
      <c r="O326" t="s">
        <v>733</v>
      </c>
      <c r="P326">
        <v>0</v>
      </c>
      <c r="Q326" t="s">
        <v>733</v>
      </c>
      <c r="S326">
        <v>0</v>
      </c>
      <c r="T326">
        <v>1.5</v>
      </c>
      <c r="U326">
        <v>30</v>
      </c>
      <c r="V326">
        <v>1.0333333333333334</v>
      </c>
      <c r="W326" t="s">
        <v>658</v>
      </c>
      <c r="X326" t="s">
        <v>657</v>
      </c>
      <c r="Y326" t="s">
        <v>736</v>
      </c>
      <c r="AA326" t="s">
        <v>419</v>
      </c>
      <c r="AB326">
        <v>0</v>
      </c>
      <c r="AI326">
        <v>3</v>
      </c>
      <c r="AJ326">
        <v>2790</v>
      </c>
      <c r="AK326" t="s">
        <v>642</v>
      </c>
      <c r="AL326" t="s">
        <v>59</v>
      </c>
      <c r="AM326">
        <v>2</v>
      </c>
    </row>
    <row r="327" spans="1:39">
      <c r="A327" s="146">
        <v>46189.876851851855</v>
      </c>
      <c r="B327" s="146">
        <v>46189</v>
      </c>
      <c r="C327">
        <v>2021742</v>
      </c>
      <c r="D327" t="s">
        <v>391</v>
      </c>
      <c r="E327" t="s">
        <v>643</v>
      </c>
      <c r="F327" t="s">
        <v>650</v>
      </c>
      <c r="G327" t="s">
        <v>226</v>
      </c>
      <c r="H327" t="s">
        <v>641</v>
      </c>
      <c r="I327" t="s">
        <v>86</v>
      </c>
      <c r="J327">
        <v>3210</v>
      </c>
      <c r="K327" s="141">
        <v>27.927</v>
      </c>
      <c r="O327" t="s">
        <v>737</v>
      </c>
      <c r="P327">
        <v>0</v>
      </c>
      <c r="Q327" t="s">
        <v>737</v>
      </c>
      <c r="U327">
        <v>60</v>
      </c>
      <c r="W327" t="s">
        <v>658</v>
      </c>
      <c r="X327" t="s">
        <v>657</v>
      </c>
      <c r="Y327" t="s">
        <v>738</v>
      </c>
      <c r="AA327" t="s">
        <v>647</v>
      </c>
      <c r="AB327">
        <v>0</v>
      </c>
      <c r="AK327" t="s">
        <v>642</v>
      </c>
      <c r="AL327" t="s">
        <v>59</v>
      </c>
    </row>
    <row r="328" spans="1:39">
      <c r="A328" s="146">
        <v>46189.877650462964</v>
      </c>
      <c r="B328" s="146">
        <v>46189</v>
      </c>
      <c r="C328">
        <v>2021742</v>
      </c>
      <c r="D328" t="s">
        <v>391</v>
      </c>
      <c r="E328" t="s">
        <v>643</v>
      </c>
      <c r="F328" t="s">
        <v>650</v>
      </c>
      <c r="G328" t="s">
        <v>236</v>
      </c>
      <c r="H328" t="s">
        <v>641</v>
      </c>
      <c r="I328" t="s">
        <v>97</v>
      </c>
      <c r="J328">
        <v>1020</v>
      </c>
      <c r="K328" s="141">
        <v>72.929999999999993</v>
      </c>
      <c r="O328" t="s">
        <v>739</v>
      </c>
      <c r="P328">
        <v>0</v>
      </c>
      <c r="Q328" t="s">
        <v>739</v>
      </c>
      <c r="U328">
        <v>17</v>
      </c>
      <c r="W328" t="s">
        <v>658</v>
      </c>
      <c r="X328" t="s">
        <v>657</v>
      </c>
      <c r="Y328" t="s">
        <v>740</v>
      </c>
      <c r="AA328" t="s">
        <v>419</v>
      </c>
      <c r="AB328">
        <v>0</v>
      </c>
      <c r="AK328" t="s">
        <v>642</v>
      </c>
      <c r="AL328" t="s">
        <v>290</v>
      </c>
    </row>
    <row r="329" spans="1:39">
      <c r="A329" s="146">
        <v>46189.88009259259</v>
      </c>
      <c r="B329" s="146">
        <v>46189</v>
      </c>
      <c r="C329">
        <v>2220255</v>
      </c>
      <c r="D329" t="s">
        <v>396</v>
      </c>
      <c r="E329" t="s">
        <v>643</v>
      </c>
      <c r="F329" t="s">
        <v>650</v>
      </c>
      <c r="G329" t="s">
        <v>216</v>
      </c>
      <c r="H329" t="s">
        <v>641</v>
      </c>
      <c r="I329" t="s">
        <v>93</v>
      </c>
      <c r="J329">
        <v>1230</v>
      </c>
      <c r="K329" s="141">
        <v>63.468000000000004</v>
      </c>
      <c r="O329" t="s">
        <v>739</v>
      </c>
      <c r="P329">
        <v>0</v>
      </c>
      <c r="Q329" t="s">
        <v>739</v>
      </c>
      <c r="U329">
        <v>27</v>
      </c>
      <c r="W329" t="s">
        <v>658</v>
      </c>
      <c r="X329" t="s">
        <v>657</v>
      </c>
      <c r="Y329" t="s">
        <v>741</v>
      </c>
      <c r="AA329" t="s">
        <v>419</v>
      </c>
      <c r="AB329">
        <v>0</v>
      </c>
      <c r="AK329" t="s">
        <v>642</v>
      </c>
      <c r="AL329" t="s">
        <v>290</v>
      </c>
    </row>
    <row r="330" spans="1:39">
      <c r="A330" s="146">
        <v>46189.880937499998</v>
      </c>
      <c r="B330" s="146">
        <v>46189</v>
      </c>
      <c r="C330">
        <v>2220255</v>
      </c>
      <c r="D330" t="s">
        <v>396</v>
      </c>
      <c r="E330" t="s">
        <v>643</v>
      </c>
      <c r="F330" t="s">
        <v>650</v>
      </c>
      <c r="G330" t="s">
        <v>216</v>
      </c>
      <c r="H330" t="s">
        <v>641</v>
      </c>
      <c r="I330" t="s">
        <v>93</v>
      </c>
      <c r="J330">
        <v>1230</v>
      </c>
      <c r="K330" s="141">
        <v>63.468000000000004</v>
      </c>
      <c r="O330" t="s">
        <v>739</v>
      </c>
      <c r="P330">
        <v>0</v>
      </c>
      <c r="Q330" t="s">
        <v>739</v>
      </c>
      <c r="U330">
        <v>27</v>
      </c>
      <c r="W330" t="s">
        <v>658</v>
      </c>
      <c r="X330" t="s">
        <v>657</v>
      </c>
      <c r="Y330" t="s">
        <v>742</v>
      </c>
      <c r="AA330" t="s">
        <v>419</v>
      </c>
      <c r="AB330">
        <v>0</v>
      </c>
      <c r="AK330" t="s">
        <v>642</v>
      </c>
      <c r="AL330" t="s">
        <v>290</v>
      </c>
    </row>
    <row r="331" spans="1:39">
      <c r="A331" s="146">
        <v>46189.883240740739</v>
      </c>
      <c r="B331" s="146">
        <v>46189</v>
      </c>
      <c r="C331">
        <v>2325301</v>
      </c>
      <c r="D331" t="s">
        <v>412</v>
      </c>
      <c r="E331" t="s">
        <v>643</v>
      </c>
      <c r="F331" t="s">
        <v>650</v>
      </c>
      <c r="G331" t="s">
        <v>481</v>
      </c>
      <c r="H331" t="s">
        <v>641</v>
      </c>
      <c r="I331" t="s">
        <v>101</v>
      </c>
      <c r="J331">
        <v>420</v>
      </c>
      <c r="K331" s="141">
        <v>33.683999999999997</v>
      </c>
      <c r="O331" t="s">
        <v>739</v>
      </c>
      <c r="P331">
        <v>0</v>
      </c>
      <c r="Q331" t="s">
        <v>739</v>
      </c>
      <c r="U331">
        <v>13.5</v>
      </c>
      <c r="W331" t="s">
        <v>658</v>
      </c>
      <c r="X331" t="s">
        <v>657</v>
      </c>
      <c r="Y331" t="s">
        <v>743</v>
      </c>
      <c r="AA331" t="s">
        <v>419</v>
      </c>
      <c r="AB331">
        <v>0</v>
      </c>
      <c r="AK331" t="s">
        <v>642</v>
      </c>
      <c r="AL331" t="s">
        <v>290</v>
      </c>
    </row>
    <row r="332" spans="1:39">
      <c r="A332" s="146">
        <v>46189.888344907406</v>
      </c>
      <c r="B332" s="146">
        <v>46189</v>
      </c>
      <c r="C332">
        <v>2325374</v>
      </c>
      <c r="D332" t="s">
        <v>415</v>
      </c>
      <c r="E332" t="s">
        <v>643</v>
      </c>
      <c r="F332" t="s">
        <v>650</v>
      </c>
      <c r="G332" t="s">
        <v>245</v>
      </c>
      <c r="H332" t="s">
        <v>641</v>
      </c>
      <c r="I332" t="s">
        <v>95</v>
      </c>
      <c r="J332">
        <v>615</v>
      </c>
      <c r="K332" s="141">
        <v>31.734000000000002</v>
      </c>
      <c r="O332" t="s">
        <v>733</v>
      </c>
      <c r="P332">
        <v>0</v>
      </c>
      <c r="Q332" t="s">
        <v>733</v>
      </c>
      <c r="R332" t="s">
        <v>734</v>
      </c>
      <c r="U332">
        <v>27</v>
      </c>
      <c r="W332" t="s">
        <v>658</v>
      </c>
      <c r="X332" t="s">
        <v>657</v>
      </c>
      <c r="Y332" t="s">
        <v>744</v>
      </c>
      <c r="AA332" t="s">
        <v>419</v>
      </c>
      <c r="AB332">
        <v>0</v>
      </c>
      <c r="AK332" t="s">
        <v>642</v>
      </c>
      <c r="AL332" t="s">
        <v>290</v>
      </c>
    </row>
    <row r="333" spans="1:39">
      <c r="A333" s="146">
        <v>46190.183738425927</v>
      </c>
      <c r="B333" s="146">
        <v>46189</v>
      </c>
      <c r="C333">
        <v>2020390</v>
      </c>
      <c r="D333" t="s">
        <v>382</v>
      </c>
      <c r="E333" t="s">
        <v>653</v>
      </c>
      <c r="F333" t="s">
        <v>650</v>
      </c>
      <c r="G333" t="s">
        <v>232</v>
      </c>
      <c r="H333" t="s">
        <v>641</v>
      </c>
      <c r="I333" t="s">
        <v>82</v>
      </c>
      <c r="J333">
        <v>930</v>
      </c>
      <c r="K333" s="141">
        <v>32.457000000000001</v>
      </c>
      <c r="O333" t="s">
        <v>733</v>
      </c>
      <c r="P333">
        <v>0</v>
      </c>
      <c r="Q333" t="s">
        <v>733</v>
      </c>
      <c r="U333">
        <v>30</v>
      </c>
      <c r="W333" t="s">
        <v>658</v>
      </c>
      <c r="X333" t="s">
        <v>657</v>
      </c>
      <c r="Y333" t="s">
        <v>745</v>
      </c>
      <c r="AA333" t="s">
        <v>419</v>
      </c>
      <c r="AB333">
        <v>0</v>
      </c>
      <c r="AK333" t="s">
        <v>642</v>
      </c>
      <c r="AL333" t="s">
        <v>290</v>
      </c>
    </row>
    <row r="334" spans="1:39">
      <c r="A334" s="146">
        <v>46190.186435185184</v>
      </c>
      <c r="B334" s="146">
        <v>46189</v>
      </c>
      <c r="C334">
        <v>2020390</v>
      </c>
      <c r="D334" t="s">
        <v>382</v>
      </c>
      <c r="E334" t="s">
        <v>653</v>
      </c>
      <c r="F334" t="s">
        <v>650</v>
      </c>
      <c r="G334" t="s">
        <v>237</v>
      </c>
      <c r="H334" t="s">
        <v>641</v>
      </c>
      <c r="I334" t="s">
        <v>99</v>
      </c>
      <c r="J334">
        <v>420</v>
      </c>
      <c r="K334" s="141">
        <v>58.548000000000002</v>
      </c>
      <c r="O334" t="s">
        <v>733</v>
      </c>
      <c r="P334">
        <v>0</v>
      </c>
      <c r="Q334" t="s">
        <v>733</v>
      </c>
      <c r="U334">
        <v>10</v>
      </c>
      <c r="W334" t="s">
        <v>658</v>
      </c>
      <c r="X334" t="s">
        <v>657</v>
      </c>
      <c r="Y334" t="s">
        <v>746</v>
      </c>
      <c r="AA334" t="s">
        <v>419</v>
      </c>
      <c r="AB334">
        <v>0</v>
      </c>
      <c r="AK334" t="s">
        <v>642</v>
      </c>
      <c r="AL334" t="s">
        <v>59</v>
      </c>
    </row>
    <row r="335" spans="1:39">
      <c r="A335" s="146">
        <v>46190.189097222225</v>
      </c>
      <c r="B335" s="146">
        <v>46189</v>
      </c>
      <c r="C335">
        <v>2222332</v>
      </c>
      <c r="D335" t="s">
        <v>406</v>
      </c>
      <c r="E335" t="s">
        <v>653</v>
      </c>
      <c r="F335" t="s">
        <v>650</v>
      </c>
      <c r="G335" t="s">
        <v>481</v>
      </c>
      <c r="H335" t="s">
        <v>641</v>
      </c>
      <c r="I335" t="s">
        <v>101</v>
      </c>
      <c r="J335">
        <v>1260</v>
      </c>
      <c r="K335" s="141">
        <v>101.05199999999999</v>
      </c>
      <c r="O335" t="s">
        <v>733</v>
      </c>
      <c r="P335">
        <v>0</v>
      </c>
      <c r="Q335" t="s">
        <v>733</v>
      </c>
      <c r="U335">
        <v>13.5</v>
      </c>
      <c r="W335" t="s">
        <v>658</v>
      </c>
      <c r="X335" t="s">
        <v>657</v>
      </c>
      <c r="Y335" t="s">
        <v>747</v>
      </c>
      <c r="AA335" t="s">
        <v>419</v>
      </c>
      <c r="AB335">
        <v>0</v>
      </c>
      <c r="AK335" t="s">
        <v>642</v>
      </c>
      <c r="AL335" t="s">
        <v>290</v>
      </c>
    </row>
    <row r="336" spans="1:39">
      <c r="A336" s="146">
        <v>46190.192662037036</v>
      </c>
      <c r="B336" s="146">
        <v>46189</v>
      </c>
      <c r="C336">
        <v>2223535</v>
      </c>
      <c r="D336" t="s">
        <v>400</v>
      </c>
      <c r="E336" t="s">
        <v>653</v>
      </c>
      <c r="F336" t="s">
        <v>650</v>
      </c>
      <c r="G336" t="s">
        <v>422</v>
      </c>
      <c r="H336" t="s">
        <v>641</v>
      </c>
      <c r="I336" t="s">
        <v>97</v>
      </c>
      <c r="J336">
        <v>1020</v>
      </c>
      <c r="K336" s="141">
        <v>72.929999999999993</v>
      </c>
      <c r="O336" t="s">
        <v>733</v>
      </c>
      <c r="P336">
        <v>0</v>
      </c>
      <c r="Q336" t="s">
        <v>733</v>
      </c>
      <c r="U336">
        <v>17</v>
      </c>
      <c r="W336" t="s">
        <v>658</v>
      </c>
      <c r="X336" t="s">
        <v>657</v>
      </c>
      <c r="Y336" t="s">
        <v>748</v>
      </c>
      <c r="AA336" t="s">
        <v>419</v>
      </c>
      <c r="AB336">
        <v>0</v>
      </c>
      <c r="AK336" t="s">
        <v>642</v>
      </c>
      <c r="AL336" t="s">
        <v>59</v>
      </c>
    </row>
    <row r="337" spans="1:38">
      <c r="A337" s="146">
        <v>46190.19326388889</v>
      </c>
      <c r="B337" s="146">
        <v>46189</v>
      </c>
      <c r="C337">
        <v>2223535</v>
      </c>
      <c r="D337" t="s">
        <v>400</v>
      </c>
      <c r="E337" t="s">
        <v>653</v>
      </c>
      <c r="F337" t="s">
        <v>650</v>
      </c>
      <c r="G337" t="s">
        <v>422</v>
      </c>
      <c r="H337" t="s">
        <v>641</v>
      </c>
      <c r="I337" t="s">
        <v>97</v>
      </c>
      <c r="J337">
        <v>510</v>
      </c>
      <c r="K337" s="141">
        <v>36.464999999999996</v>
      </c>
      <c r="O337" t="s">
        <v>733</v>
      </c>
      <c r="P337">
        <v>0</v>
      </c>
      <c r="Q337" t="s">
        <v>733</v>
      </c>
      <c r="U337">
        <v>17</v>
      </c>
      <c r="W337" t="s">
        <v>658</v>
      </c>
      <c r="X337" t="s">
        <v>657</v>
      </c>
      <c r="Y337" t="s">
        <v>749</v>
      </c>
      <c r="AA337" t="s">
        <v>419</v>
      </c>
      <c r="AB337">
        <v>0</v>
      </c>
      <c r="AK337" t="s">
        <v>642</v>
      </c>
      <c r="AL337" t="s">
        <v>59</v>
      </c>
    </row>
    <row r="338" spans="1:38">
      <c r="A338" s="146">
        <v>46190.194085648145</v>
      </c>
      <c r="B338" s="146">
        <v>46189</v>
      </c>
      <c r="C338">
        <v>2223535</v>
      </c>
      <c r="D338" t="s">
        <v>400</v>
      </c>
      <c r="E338" t="s">
        <v>653</v>
      </c>
      <c r="F338" t="s">
        <v>650</v>
      </c>
      <c r="G338" t="s">
        <v>226</v>
      </c>
      <c r="H338" t="s">
        <v>641</v>
      </c>
      <c r="I338" t="s">
        <v>86</v>
      </c>
      <c r="J338">
        <v>3210</v>
      </c>
      <c r="K338" s="141">
        <v>27.927</v>
      </c>
      <c r="O338" t="s">
        <v>676</v>
      </c>
      <c r="P338">
        <v>0</v>
      </c>
      <c r="Q338" t="s">
        <v>676</v>
      </c>
      <c r="R338" t="s">
        <v>721</v>
      </c>
      <c r="U338">
        <v>60</v>
      </c>
      <c r="W338" t="s">
        <v>658</v>
      </c>
      <c r="X338" t="s">
        <v>657</v>
      </c>
      <c r="Y338" t="s">
        <v>750</v>
      </c>
      <c r="AA338" t="s">
        <v>647</v>
      </c>
      <c r="AB338">
        <v>0</v>
      </c>
      <c r="AK338" t="s">
        <v>642</v>
      </c>
      <c r="AL338" t="s">
        <v>59</v>
      </c>
    </row>
    <row r="339" spans="1:38">
      <c r="A339" s="146">
        <v>46190.204965277779</v>
      </c>
      <c r="B339" s="146">
        <v>46189</v>
      </c>
      <c r="C339">
        <v>2021645</v>
      </c>
      <c r="D339" t="s">
        <v>629</v>
      </c>
      <c r="E339" t="s">
        <v>653</v>
      </c>
      <c r="F339" t="s">
        <v>650</v>
      </c>
      <c r="G339" t="s">
        <v>216</v>
      </c>
      <c r="H339" t="s">
        <v>641</v>
      </c>
      <c r="I339" t="s">
        <v>93</v>
      </c>
      <c r="J339">
        <v>1860</v>
      </c>
      <c r="K339" s="141">
        <v>95.975999999999999</v>
      </c>
      <c r="O339" t="s">
        <v>733</v>
      </c>
      <c r="P339">
        <v>0</v>
      </c>
      <c r="Q339" t="s">
        <v>733</v>
      </c>
      <c r="U339">
        <v>27</v>
      </c>
      <c r="W339" t="s">
        <v>658</v>
      </c>
      <c r="X339" t="s">
        <v>657</v>
      </c>
      <c r="Y339" t="s">
        <v>751</v>
      </c>
      <c r="AA339" t="s">
        <v>647</v>
      </c>
      <c r="AB339">
        <v>0</v>
      </c>
      <c r="AK339" t="s">
        <v>642</v>
      </c>
      <c r="AL339" t="s">
        <v>290</v>
      </c>
    </row>
    <row r="340" spans="1:38">
      <c r="A340" s="146">
        <v>46190.213333333333</v>
      </c>
      <c r="B340" s="146">
        <v>46189</v>
      </c>
      <c r="C340">
        <v>2021645</v>
      </c>
      <c r="D340" t="s">
        <v>629</v>
      </c>
      <c r="E340" t="s">
        <v>653</v>
      </c>
      <c r="F340" t="s">
        <v>650</v>
      </c>
      <c r="G340" t="s">
        <v>223</v>
      </c>
      <c r="H340" t="s">
        <v>641</v>
      </c>
      <c r="I340" t="s">
        <v>94</v>
      </c>
      <c r="J340">
        <v>2330</v>
      </c>
      <c r="K340" s="141">
        <v>81.317000000000007</v>
      </c>
      <c r="O340" t="s">
        <v>733</v>
      </c>
      <c r="P340">
        <v>0</v>
      </c>
      <c r="Q340" t="s">
        <v>733</v>
      </c>
      <c r="U340">
        <v>42</v>
      </c>
      <c r="W340" t="s">
        <v>658</v>
      </c>
      <c r="X340" t="s">
        <v>657</v>
      </c>
      <c r="Y340" t="s">
        <v>752</v>
      </c>
      <c r="AA340" t="s">
        <v>647</v>
      </c>
      <c r="AB340">
        <v>0</v>
      </c>
      <c r="AK340" t="s">
        <v>642</v>
      </c>
      <c r="AL340" t="s">
        <v>290</v>
      </c>
    </row>
    <row r="341" spans="1:38">
      <c r="A341" s="146">
        <v>46190.223043981481</v>
      </c>
      <c r="B341" s="146">
        <v>46189</v>
      </c>
      <c r="C341">
        <v>2241656</v>
      </c>
      <c r="D341" t="s">
        <v>409</v>
      </c>
      <c r="E341" t="s">
        <v>653</v>
      </c>
      <c r="F341" t="s">
        <v>650</v>
      </c>
      <c r="G341" t="s">
        <v>227</v>
      </c>
      <c r="H341" t="s">
        <v>641</v>
      </c>
      <c r="I341" t="s">
        <v>90</v>
      </c>
      <c r="J341">
        <v>1510</v>
      </c>
      <c r="K341" s="141">
        <v>27.029</v>
      </c>
      <c r="O341" t="s">
        <v>755</v>
      </c>
      <c r="P341">
        <v>0</v>
      </c>
      <c r="Q341" t="s">
        <v>755</v>
      </c>
      <c r="U341">
        <v>45</v>
      </c>
      <c r="W341" t="s">
        <v>658</v>
      </c>
      <c r="X341" t="s">
        <v>657</v>
      </c>
      <c r="Y341" t="s">
        <v>754</v>
      </c>
      <c r="AA341" t="s">
        <v>419</v>
      </c>
      <c r="AB341">
        <v>0</v>
      </c>
      <c r="AK341" t="s">
        <v>642</v>
      </c>
      <c r="AL341" t="s">
        <v>290</v>
      </c>
    </row>
    <row r="342" spans="1:38">
      <c r="A342" s="146">
        <v>46190.517847222225</v>
      </c>
      <c r="B342" s="146">
        <v>46190</v>
      </c>
      <c r="C342">
        <v>2325310</v>
      </c>
      <c r="D342" t="s">
        <v>413</v>
      </c>
      <c r="E342" t="s">
        <v>659</v>
      </c>
      <c r="F342" t="s">
        <v>650</v>
      </c>
      <c r="G342" t="s">
        <v>229</v>
      </c>
      <c r="H342" t="s">
        <v>641</v>
      </c>
      <c r="I342" t="s">
        <v>763</v>
      </c>
      <c r="J342">
        <v>510</v>
      </c>
      <c r="K342" s="141">
        <v>36.464999999999996</v>
      </c>
      <c r="O342" t="s">
        <v>753</v>
      </c>
      <c r="P342">
        <v>0</v>
      </c>
      <c r="Q342" t="s">
        <v>753</v>
      </c>
      <c r="U342">
        <v>17</v>
      </c>
      <c r="W342" t="s">
        <v>658</v>
      </c>
      <c r="X342" t="s">
        <v>657</v>
      </c>
      <c r="Y342" t="s">
        <v>756</v>
      </c>
      <c r="AA342" t="s">
        <v>419</v>
      </c>
      <c r="AB342">
        <v>0</v>
      </c>
      <c r="AK342" t="s">
        <v>642</v>
      </c>
      <c r="AL342" t="s">
        <v>290</v>
      </c>
    </row>
    <row r="343" spans="1:38">
      <c r="A343" s="146">
        <v>46190.525590277779</v>
      </c>
      <c r="B343" s="146">
        <v>46190</v>
      </c>
      <c r="C343">
        <v>2325295</v>
      </c>
      <c r="D343" t="s">
        <v>411</v>
      </c>
      <c r="E343" t="s">
        <v>659</v>
      </c>
      <c r="F343" t="s">
        <v>650</v>
      </c>
      <c r="G343" t="s">
        <v>227</v>
      </c>
      <c r="H343" t="s">
        <v>641</v>
      </c>
      <c r="I343" t="s">
        <v>758</v>
      </c>
      <c r="J343">
        <v>3030</v>
      </c>
      <c r="K343" s="141">
        <v>54.236999999999995</v>
      </c>
      <c r="O343" t="s">
        <v>753</v>
      </c>
      <c r="P343">
        <v>0</v>
      </c>
      <c r="Q343" t="s">
        <v>753</v>
      </c>
      <c r="U343">
        <v>45</v>
      </c>
      <c r="W343" t="s">
        <v>658</v>
      </c>
      <c r="X343" t="s">
        <v>657</v>
      </c>
      <c r="Y343" t="s">
        <v>757</v>
      </c>
      <c r="AA343" t="s">
        <v>419</v>
      </c>
      <c r="AB343">
        <v>0</v>
      </c>
      <c r="AK343" t="s">
        <v>642</v>
      </c>
      <c r="AL343" t="s">
        <v>290</v>
      </c>
    </row>
    <row r="344" spans="1:38">
      <c r="A344" s="146">
        <v>46190.52752314815</v>
      </c>
      <c r="B344" s="146">
        <v>46190</v>
      </c>
      <c r="C344">
        <v>2325295</v>
      </c>
      <c r="D344" t="s">
        <v>411</v>
      </c>
      <c r="E344" t="s">
        <v>659</v>
      </c>
      <c r="F344" t="s">
        <v>650</v>
      </c>
      <c r="G344" t="s">
        <v>759</v>
      </c>
      <c r="H344" t="s">
        <v>641</v>
      </c>
      <c r="I344" t="s">
        <v>761</v>
      </c>
      <c r="J344">
        <v>3030</v>
      </c>
      <c r="K344" s="141">
        <v>54.236999999999995</v>
      </c>
      <c r="O344" t="s">
        <v>753</v>
      </c>
      <c r="P344">
        <v>0</v>
      </c>
      <c r="Q344" t="s">
        <v>753</v>
      </c>
      <c r="U344">
        <v>45</v>
      </c>
      <c r="W344" t="s">
        <v>658</v>
      </c>
      <c r="X344" t="s">
        <v>657</v>
      </c>
      <c r="Y344" t="s">
        <v>760</v>
      </c>
      <c r="AA344" t="s">
        <v>419</v>
      </c>
      <c r="AB344">
        <v>0</v>
      </c>
      <c r="AK344" t="s">
        <v>642</v>
      </c>
      <c r="AL344" t="s">
        <v>59</v>
      </c>
    </row>
    <row r="345" spans="1:38">
      <c r="A345" s="146">
        <v>46190.543587962966</v>
      </c>
      <c r="B345" s="146">
        <v>46190</v>
      </c>
      <c r="C345">
        <v>2325310</v>
      </c>
      <c r="D345" t="s">
        <v>413</v>
      </c>
      <c r="E345" t="s">
        <v>659</v>
      </c>
      <c r="F345" t="s">
        <v>650</v>
      </c>
      <c r="G345" t="s">
        <v>224</v>
      </c>
      <c r="H345" t="s">
        <v>641</v>
      </c>
      <c r="I345" t="s">
        <v>764</v>
      </c>
      <c r="J345">
        <v>1510</v>
      </c>
      <c r="K345" s="141">
        <v>27.029</v>
      </c>
      <c r="O345" t="s">
        <v>753</v>
      </c>
      <c r="P345">
        <v>0</v>
      </c>
      <c r="Q345" t="s">
        <v>753</v>
      </c>
      <c r="U345">
        <v>45</v>
      </c>
      <c r="W345" t="s">
        <v>658</v>
      </c>
      <c r="X345" t="s">
        <v>657</v>
      </c>
      <c r="Y345" t="s">
        <v>762</v>
      </c>
      <c r="AA345" t="s">
        <v>419</v>
      </c>
      <c r="AB345">
        <v>0</v>
      </c>
      <c r="AK345" t="s">
        <v>642</v>
      </c>
      <c r="AL345" t="s">
        <v>59</v>
      </c>
    </row>
    <row r="346" spans="1:38">
      <c r="A346" s="146">
        <v>46190.548402777778</v>
      </c>
      <c r="B346" s="146">
        <v>46190</v>
      </c>
      <c r="C346">
        <v>2325295</v>
      </c>
      <c r="D346" t="s">
        <v>411</v>
      </c>
      <c r="E346" t="s">
        <v>659</v>
      </c>
      <c r="F346" t="s">
        <v>650</v>
      </c>
      <c r="G346" t="s">
        <v>216</v>
      </c>
      <c r="H346" t="s">
        <v>641</v>
      </c>
      <c r="I346" t="s">
        <v>766</v>
      </c>
      <c r="J346">
        <v>1230</v>
      </c>
      <c r="K346" s="141">
        <v>63.468000000000004</v>
      </c>
      <c r="O346" t="s">
        <v>753</v>
      </c>
      <c r="P346">
        <v>0</v>
      </c>
      <c r="Q346" t="s">
        <v>753</v>
      </c>
      <c r="U346">
        <v>27</v>
      </c>
      <c r="W346" t="s">
        <v>658</v>
      </c>
      <c r="X346" t="s">
        <v>657</v>
      </c>
      <c r="Y346" t="s">
        <v>765</v>
      </c>
      <c r="AA346" t="s">
        <v>419</v>
      </c>
      <c r="AB346">
        <v>0</v>
      </c>
      <c r="AK346" t="s">
        <v>642</v>
      </c>
      <c r="AL346" t="s">
        <v>290</v>
      </c>
    </row>
    <row r="347" spans="1:38">
      <c r="A347" s="146">
        <v>46190.575914351852</v>
      </c>
      <c r="B347" s="146">
        <v>46190</v>
      </c>
      <c r="C347">
        <v>2325365</v>
      </c>
      <c r="D347" t="s">
        <v>414</v>
      </c>
      <c r="E347" t="s">
        <v>659</v>
      </c>
      <c r="F347" t="s">
        <v>650</v>
      </c>
      <c r="G347" t="s">
        <v>232</v>
      </c>
      <c r="H347" t="s">
        <v>641</v>
      </c>
      <c r="I347" t="s">
        <v>768</v>
      </c>
      <c r="J347">
        <v>930</v>
      </c>
      <c r="K347" s="141">
        <v>32.457000000000001</v>
      </c>
      <c r="O347" t="s">
        <v>753</v>
      </c>
      <c r="P347">
        <v>0</v>
      </c>
      <c r="Q347" t="s">
        <v>753</v>
      </c>
      <c r="U347">
        <v>30</v>
      </c>
      <c r="W347" t="s">
        <v>658</v>
      </c>
      <c r="X347" t="s">
        <v>657</v>
      </c>
      <c r="Y347" t="s">
        <v>767</v>
      </c>
      <c r="AA347" t="s">
        <v>419</v>
      </c>
      <c r="AB347">
        <v>0</v>
      </c>
      <c r="AK347" t="s">
        <v>642</v>
      </c>
      <c r="AL347" t="s">
        <v>290</v>
      </c>
    </row>
    <row r="348" spans="1:38">
      <c r="A348" s="146">
        <v>46190.577291666668</v>
      </c>
      <c r="B348" s="146">
        <v>46190</v>
      </c>
      <c r="C348">
        <v>2325365</v>
      </c>
      <c r="D348" t="s">
        <v>414</v>
      </c>
      <c r="E348" t="s">
        <v>659</v>
      </c>
      <c r="F348" t="s">
        <v>650</v>
      </c>
      <c r="G348" t="s">
        <v>222</v>
      </c>
      <c r="H348" t="s">
        <v>641</v>
      </c>
      <c r="I348" t="s">
        <v>770</v>
      </c>
      <c r="J348">
        <v>2210</v>
      </c>
      <c r="K348" s="141">
        <v>39.558999999999997</v>
      </c>
      <c r="O348" t="s">
        <v>753</v>
      </c>
      <c r="P348">
        <v>0</v>
      </c>
      <c r="Q348" t="s">
        <v>753</v>
      </c>
      <c r="U348">
        <v>50</v>
      </c>
      <c r="W348" t="s">
        <v>658</v>
      </c>
      <c r="X348" t="s">
        <v>657</v>
      </c>
      <c r="Y348" t="s">
        <v>769</v>
      </c>
      <c r="AA348" t="s">
        <v>419</v>
      </c>
      <c r="AB348">
        <v>0</v>
      </c>
      <c r="AK348" t="s">
        <v>642</v>
      </c>
      <c r="AL348" t="s">
        <v>290</v>
      </c>
    </row>
    <row r="349" spans="1:38">
      <c r="A349" s="146">
        <v>46190.579629629632</v>
      </c>
      <c r="B349" s="146">
        <v>46190</v>
      </c>
      <c r="C349">
        <v>2228947</v>
      </c>
      <c r="D349" t="s">
        <v>416</v>
      </c>
      <c r="E349" t="s">
        <v>659</v>
      </c>
      <c r="F349" t="s">
        <v>650</v>
      </c>
      <c r="G349" t="s">
        <v>234</v>
      </c>
      <c r="H349" t="s">
        <v>641</v>
      </c>
      <c r="I349" t="s">
        <v>776</v>
      </c>
      <c r="J349">
        <v>2350</v>
      </c>
      <c r="K349" s="141">
        <v>82.015000000000001</v>
      </c>
      <c r="O349" t="s">
        <v>753</v>
      </c>
      <c r="P349">
        <v>0</v>
      </c>
      <c r="Q349" t="s">
        <v>753</v>
      </c>
      <c r="U349">
        <v>42</v>
      </c>
      <c r="W349" t="s">
        <v>658</v>
      </c>
      <c r="X349" t="s">
        <v>657</v>
      </c>
      <c r="Y349" t="s">
        <v>771</v>
      </c>
      <c r="AA349" t="s">
        <v>419</v>
      </c>
      <c r="AB349">
        <v>0</v>
      </c>
      <c r="AK349" t="s">
        <v>642</v>
      </c>
      <c r="AL349" t="s">
        <v>290</v>
      </c>
    </row>
    <row r="350" spans="1:38">
      <c r="A350" s="146">
        <v>46190.580196759256</v>
      </c>
      <c r="B350" s="146">
        <v>46190</v>
      </c>
      <c r="C350">
        <v>2228947</v>
      </c>
      <c r="D350" t="s">
        <v>416</v>
      </c>
      <c r="E350" t="s">
        <v>659</v>
      </c>
      <c r="F350" t="s">
        <v>650</v>
      </c>
      <c r="G350" t="s">
        <v>680</v>
      </c>
      <c r="H350" t="s">
        <v>641</v>
      </c>
      <c r="I350" t="s">
        <v>777</v>
      </c>
      <c r="J350">
        <v>1400</v>
      </c>
      <c r="K350" s="141">
        <v>48.86</v>
      </c>
      <c r="O350" t="s">
        <v>753</v>
      </c>
      <c r="P350">
        <v>0</v>
      </c>
      <c r="Q350" t="s">
        <v>753</v>
      </c>
      <c r="U350">
        <v>42</v>
      </c>
      <c r="W350" t="s">
        <v>658</v>
      </c>
      <c r="X350" t="s">
        <v>657</v>
      </c>
      <c r="Y350" t="s">
        <v>772</v>
      </c>
      <c r="AA350" t="s">
        <v>419</v>
      </c>
      <c r="AB350">
        <v>0</v>
      </c>
      <c r="AK350" t="s">
        <v>642</v>
      </c>
      <c r="AL350" t="s">
        <v>290</v>
      </c>
    </row>
    <row r="351" spans="1:38">
      <c r="A351" s="146">
        <v>46190.580659722225</v>
      </c>
      <c r="B351" s="146">
        <v>46190</v>
      </c>
      <c r="C351">
        <v>2228947</v>
      </c>
      <c r="D351" t="s">
        <v>416</v>
      </c>
      <c r="E351" t="s">
        <v>659</v>
      </c>
      <c r="F351" t="s">
        <v>650</v>
      </c>
      <c r="G351" t="s">
        <v>680</v>
      </c>
      <c r="H351" t="s">
        <v>641</v>
      </c>
      <c r="I351" t="s">
        <v>778</v>
      </c>
      <c r="J351">
        <v>1300</v>
      </c>
      <c r="K351" s="141" t="e">
        <v>#N/A</v>
      </c>
      <c r="O351" t="s">
        <v>753</v>
      </c>
      <c r="P351">
        <v>0</v>
      </c>
      <c r="Q351" t="s">
        <v>753</v>
      </c>
      <c r="U351">
        <v>42</v>
      </c>
      <c r="W351" t="s">
        <v>658</v>
      </c>
      <c r="X351" t="s">
        <v>657</v>
      </c>
      <c r="Y351" t="s">
        <v>773</v>
      </c>
      <c r="AA351" t="s">
        <v>419</v>
      </c>
      <c r="AB351">
        <v>0</v>
      </c>
      <c r="AK351" t="s">
        <v>642</v>
      </c>
      <c r="AL351" t="s">
        <v>670</v>
      </c>
    </row>
    <row r="352" spans="1:38">
      <c r="A352" s="146">
        <v>46190.581238425926</v>
      </c>
      <c r="B352" s="146">
        <v>46190</v>
      </c>
      <c r="C352">
        <v>2228947</v>
      </c>
      <c r="D352" t="s">
        <v>416</v>
      </c>
      <c r="E352" t="s">
        <v>659</v>
      </c>
      <c r="F352" t="s">
        <v>650</v>
      </c>
      <c r="G352" t="s">
        <v>774</v>
      </c>
      <c r="H352" t="s">
        <v>641</v>
      </c>
      <c r="I352" t="s">
        <v>779</v>
      </c>
      <c r="J352">
        <v>3210</v>
      </c>
      <c r="K352" s="141">
        <v>27.927</v>
      </c>
      <c r="O352" t="s">
        <v>686</v>
      </c>
      <c r="P352">
        <v>0</v>
      </c>
      <c r="Q352" t="s">
        <v>686</v>
      </c>
      <c r="U352">
        <v>70</v>
      </c>
      <c r="W352" t="s">
        <v>658</v>
      </c>
      <c r="X352" t="s">
        <v>657</v>
      </c>
      <c r="Y352" t="s">
        <v>775</v>
      </c>
      <c r="AA352" t="s">
        <v>647</v>
      </c>
      <c r="AB352">
        <v>0</v>
      </c>
      <c r="AK352" t="s">
        <v>642</v>
      </c>
      <c r="AL352" t="s">
        <v>290</v>
      </c>
    </row>
    <row r="353" spans="1:39">
      <c r="A353" s="146">
        <v>46190.583148148151</v>
      </c>
      <c r="B353" s="146">
        <v>46190</v>
      </c>
      <c r="C353">
        <v>2221908</v>
      </c>
      <c r="D353" t="s">
        <v>398</v>
      </c>
      <c r="E353" t="s">
        <v>659</v>
      </c>
      <c r="F353" t="s">
        <v>650</v>
      </c>
      <c r="G353" t="s">
        <v>228</v>
      </c>
      <c r="H353" t="s">
        <v>641</v>
      </c>
      <c r="I353" t="s">
        <v>781</v>
      </c>
      <c r="J353">
        <v>615</v>
      </c>
      <c r="K353" s="141">
        <v>31.734000000000002</v>
      </c>
      <c r="O353" t="s">
        <v>665</v>
      </c>
      <c r="P353">
        <v>1</v>
      </c>
      <c r="Q353" t="s">
        <v>665</v>
      </c>
      <c r="U353">
        <v>21</v>
      </c>
      <c r="W353" t="s">
        <v>658</v>
      </c>
      <c r="X353" t="s">
        <v>657</v>
      </c>
      <c r="Y353" t="s">
        <v>780</v>
      </c>
      <c r="AA353" t="s">
        <v>652</v>
      </c>
      <c r="AB353">
        <v>0</v>
      </c>
      <c r="AK353" t="s">
        <v>642</v>
      </c>
      <c r="AL353" t="s">
        <v>59</v>
      </c>
    </row>
    <row r="354" spans="1:39">
      <c r="A354" s="146">
        <v>46190.77884259259</v>
      </c>
      <c r="B354" s="146">
        <v>46190</v>
      </c>
      <c r="C354">
        <v>2325374</v>
      </c>
      <c r="D354" t="s">
        <v>415</v>
      </c>
      <c r="E354" t="s">
        <v>643</v>
      </c>
      <c r="F354" t="s">
        <v>650</v>
      </c>
      <c r="G354" t="s">
        <v>216</v>
      </c>
      <c r="H354" t="s">
        <v>641</v>
      </c>
      <c r="I354" t="s">
        <v>95</v>
      </c>
      <c r="J354">
        <v>850</v>
      </c>
      <c r="K354" s="141">
        <v>43.86</v>
      </c>
      <c r="O354" t="s">
        <v>681</v>
      </c>
      <c r="P354">
        <v>0</v>
      </c>
      <c r="Q354" t="s">
        <v>681</v>
      </c>
      <c r="R354" t="s">
        <v>782</v>
      </c>
      <c r="U354">
        <v>27</v>
      </c>
      <c r="W354" t="s">
        <v>658</v>
      </c>
      <c r="X354" t="s">
        <v>657</v>
      </c>
      <c r="Y354" t="s">
        <v>783</v>
      </c>
      <c r="AA354" t="s">
        <v>419</v>
      </c>
      <c r="AB354">
        <v>0</v>
      </c>
      <c r="AK354" t="s">
        <v>642</v>
      </c>
      <c r="AL354" t="s">
        <v>290</v>
      </c>
    </row>
    <row r="355" spans="1:39">
      <c r="A355" s="146">
        <v>46190.779409722221</v>
      </c>
      <c r="B355" s="146">
        <v>46190</v>
      </c>
      <c r="C355">
        <v>2325374</v>
      </c>
      <c r="D355" t="s">
        <v>415</v>
      </c>
      <c r="E355" t="s">
        <v>643</v>
      </c>
      <c r="F355" t="s">
        <v>650</v>
      </c>
      <c r="G355" t="s">
        <v>216</v>
      </c>
      <c r="H355" t="s">
        <v>641</v>
      </c>
      <c r="I355" t="s">
        <v>95</v>
      </c>
      <c r="J355">
        <v>1230</v>
      </c>
      <c r="K355" s="141">
        <v>63.468000000000004</v>
      </c>
      <c r="O355" t="s">
        <v>681</v>
      </c>
      <c r="P355">
        <v>0</v>
      </c>
      <c r="Q355" t="s">
        <v>681</v>
      </c>
      <c r="R355" t="s">
        <v>782</v>
      </c>
      <c r="U355">
        <v>27</v>
      </c>
      <c r="W355" t="s">
        <v>658</v>
      </c>
      <c r="X355" t="s">
        <v>657</v>
      </c>
      <c r="Y355" t="s">
        <v>784</v>
      </c>
      <c r="AA355" t="s">
        <v>419</v>
      </c>
      <c r="AB355">
        <v>0</v>
      </c>
      <c r="AK355" t="s">
        <v>642</v>
      </c>
      <c r="AL355" t="s">
        <v>290</v>
      </c>
    </row>
    <row r="356" spans="1:39">
      <c r="A356" s="146">
        <v>46190.830625000002</v>
      </c>
      <c r="B356" s="146">
        <v>46190</v>
      </c>
      <c r="C356">
        <v>2243991</v>
      </c>
      <c r="D356" t="s">
        <v>410</v>
      </c>
      <c r="E356" t="s">
        <v>643</v>
      </c>
      <c r="F356" t="s">
        <v>650</v>
      </c>
      <c r="G356" t="s">
        <v>228</v>
      </c>
      <c r="H356" t="s">
        <v>641</v>
      </c>
      <c r="I356" t="s">
        <v>88</v>
      </c>
      <c r="J356">
        <v>615</v>
      </c>
      <c r="K356" s="141">
        <v>31.734000000000002</v>
      </c>
      <c r="O356" t="s">
        <v>681</v>
      </c>
      <c r="P356">
        <v>0</v>
      </c>
      <c r="Q356" t="s">
        <v>681</v>
      </c>
      <c r="U356">
        <v>21</v>
      </c>
      <c r="W356" t="s">
        <v>658</v>
      </c>
      <c r="X356" t="s">
        <v>657</v>
      </c>
      <c r="Y356" t="s">
        <v>785</v>
      </c>
      <c r="AA356" t="s">
        <v>419</v>
      </c>
      <c r="AB356">
        <v>0</v>
      </c>
      <c r="AK356" t="s">
        <v>642</v>
      </c>
      <c r="AL356" t="s">
        <v>59</v>
      </c>
    </row>
    <row r="357" spans="1:39">
      <c r="A357" s="146">
        <v>46190.831226851849</v>
      </c>
      <c r="B357" s="146">
        <v>46190</v>
      </c>
      <c r="C357">
        <v>2243991</v>
      </c>
      <c r="D357" t="s">
        <v>410</v>
      </c>
      <c r="E357" t="s">
        <v>643</v>
      </c>
      <c r="F357" t="s">
        <v>650</v>
      </c>
      <c r="G357" t="s">
        <v>226</v>
      </c>
      <c r="H357" t="s">
        <v>641</v>
      </c>
      <c r="I357" t="s">
        <v>86</v>
      </c>
      <c r="J357">
        <v>2500</v>
      </c>
      <c r="K357" s="141">
        <v>21.75</v>
      </c>
      <c r="O357" t="s">
        <v>681</v>
      </c>
      <c r="P357">
        <v>0</v>
      </c>
      <c r="Q357" t="s">
        <v>681</v>
      </c>
      <c r="U357">
        <v>60</v>
      </c>
      <c r="W357" t="s">
        <v>658</v>
      </c>
      <c r="X357" t="s">
        <v>657</v>
      </c>
      <c r="Y357" t="s">
        <v>786</v>
      </c>
      <c r="AA357" t="s">
        <v>419</v>
      </c>
      <c r="AB357">
        <v>0</v>
      </c>
      <c r="AK357" t="s">
        <v>642</v>
      </c>
      <c r="AL357" t="s">
        <v>59</v>
      </c>
    </row>
    <row r="358" spans="1:39">
      <c r="A358" s="146">
        <v>46190.856249999997</v>
      </c>
      <c r="B358" s="146">
        <v>46190</v>
      </c>
      <c r="C358">
        <v>2224358</v>
      </c>
      <c r="D358" t="s">
        <v>417</v>
      </c>
      <c r="E358" t="s">
        <v>643</v>
      </c>
      <c r="F358" t="s">
        <v>650</v>
      </c>
      <c r="G358" t="s">
        <v>234</v>
      </c>
      <c r="H358" t="s">
        <v>641</v>
      </c>
      <c r="I358" t="s">
        <v>94</v>
      </c>
      <c r="J358">
        <v>1020</v>
      </c>
      <c r="K358" s="141">
        <v>35.597999999999999</v>
      </c>
      <c r="O358" t="s">
        <v>681</v>
      </c>
      <c r="P358">
        <v>0</v>
      </c>
      <c r="Q358" t="s">
        <v>681</v>
      </c>
      <c r="R358" t="s">
        <v>787</v>
      </c>
      <c r="U358">
        <v>42</v>
      </c>
      <c r="W358" t="s">
        <v>658</v>
      </c>
      <c r="X358" t="s">
        <v>657</v>
      </c>
      <c r="Y358" t="s">
        <v>788</v>
      </c>
      <c r="AA358" t="s">
        <v>419</v>
      </c>
      <c r="AB358">
        <v>0</v>
      </c>
      <c r="AK358" t="s">
        <v>642</v>
      </c>
      <c r="AL358" t="s">
        <v>290</v>
      </c>
    </row>
    <row r="359" spans="1:39">
      <c r="A359" s="146">
        <v>46190.856249999997</v>
      </c>
      <c r="B359" s="146">
        <v>46190</v>
      </c>
      <c r="C359">
        <v>2224358</v>
      </c>
      <c r="D359" t="s">
        <v>417</v>
      </c>
      <c r="E359" t="s">
        <v>643</v>
      </c>
      <c r="F359" t="s">
        <v>650</v>
      </c>
      <c r="G359" t="s">
        <v>231</v>
      </c>
      <c r="H359" t="s">
        <v>641</v>
      </c>
      <c r="I359" t="s">
        <v>87</v>
      </c>
      <c r="J359">
        <v>2220</v>
      </c>
      <c r="K359" s="141">
        <v>35.597999999999999</v>
      </c>
      <c r="O359" t="s">
        <v>676</v>
      </c>
      <c r="P359">
        <v>0</v>
      </c>
      <c r="Q359" t="s">
        <v>676</v>
      </c>
      <c r="R359" t="s">
        <v>789</v>
      </c>
      <c r="U359">
        <v>42</v>
      </c>
      <c r="W359" t="s">
        <v>658</v>
      </c>
      <c r="X359" t="s">
        <v>657</v>
      </c>
      <c r="Y359" t="s">
        <v>788</v>
      </c>
      <c r="AA359" t="s">
        <v>419</v>
      </c>
      <c r="AB359">
        <v>0</v>
      </c>
      <c r="AK359" t="s">
        <v>642</v>
      </c>
      <c r="AL359" t="s">
        <v>290</v>
      </c>
    </row>
    <row r="360" spans="1:39">
      <c r="A360" s="146">
        <v>46190.871944444443</v>
      </c>
      <c r="B360" s="146">
        <v>46190</v>
      </c>
      <c r="C360">
        <v>2021742</v>
      </c>
      <c r="D360" t="s">
        <v>391</v>
      </c>
      <c r="E360" t="s">
        <v>643</v>
      </c>
      <c r="F360" t="s">
        <v>650</v>
      </c>
      <c r="G360" t="s">
        <v>236</v>
      </c>
      <c r="H360" t="s">
        <v>641</v>
      </c>
      <c r="I360" t="s">
        <v>97</v>
      </c>
      <c r="J360">
        <v>510</v>
      </c>
      <c r="K360" s="141">
        <v>36.464999999999996</v>
      </c>
      <c r="O360" t="s">
        <v>681</v>
      </c>
      <c r="P360">
        <v>0</v>
      </c>
      <c r="Q360" t="s">
        <v>681</v>
      </c>
      <c r="U360">
        <v>17</v>
      </c>
      <c r="W360" t="s">
        <v>658</v>
      </c>
      <c r="X360" t="s">
        <v>657</v>
      </c>
      <c r="Y360" t="s">
        <v>790</v>
      </c>
      <c r="AA360" t="s">
        <v>419</v>
      </c>
      <c r="AB360">
        <v>0</v>
      </c>
      <c r="AK360" t="s">
        <v>642</v>
      </c>
      <c r="AL360" t="s">
        <v>290</v>
      </c>
    </row>
    <row r="361" spans="1:39">
      <c r="A361" s="146">
        <v>46190.872870370367</v>
      </c>
      <c r="B361" s="146">
        <v>46190</v>
      </c>
      <c r="C361">
        <v>2021742</v>
      </c>
      <c r="D361" t="s">
        <v>391</v>
      </c>
      <c r="E361" t="s">
        <v>643</v>
      </c>
      <c r="F361" t="s">
        <v>650</v>
      </c>
      <c r="G361" t="s">
        <v>222</v>
      </c>
      <c r="H361" t="s">
        <v>641</v>
      </c>
      <c r="I361" t="s">
        <v>98</v>
      </c>
      <c r="J361">
        <v>2250</v>
      </c>
      <c r="K361" s="141">
        <v>40.274999999999999</v>
      </c>
      <c r="O361" t="s">
        <v>791</v>
      </c>
      <c r="P361">
        <v>0</v>
      </c>
      <c r="Q361" t="s">
        <v>791</v>
      </c>
      <c r="U361">
        <v>50</v>
      </c>
      <c r="W361" t="s">
        <v>658</v>
      </c>
      <c r="X361" t="s">
        <v>657</v>
      </c>
      <c r="Y361" t="s">
        <v>792</v>
      </c>
      <c r="AA361" t="s">
        <v>647</v>
      </c>
      <c r="AB361">
        <v>0</v>
      </c>
      <c r="AK361" t="s">
        <v>642</v>
      </c>
      <c r="AL361" t="s">
        <v>290</v>
      </c>
    </row>
    <row r="362" spans="1:39">
      <c r="A362" s="146">
        <v>46190.886122685188</v>
      </c>
      <c r="B362" s="146">
        <v>46190</v>
      </c>
      <c r="C362">
        <v>2220255</v>
      </c>
      <c r="D362" t="s">
        <v>396</v>
      </c>
      <c r="E362" t="s">
        <v>643</v>
      </c>
      <c r="F362" t="s">
        <v>650</v>
      </c>
      <c r="G362" t="s">
        <v>228</v>
      </c>
      <c r="H362" t="s">
        <v>641</v>
      </c>
      <c r="I362" t="s">
        <v>93</v>
      </c>
      <c r="J362">
        <v>800</v>
      </c>
      <c r="K362" s="141">
        <v>41.28</v>
      </c>
      <c r="O362" t="s">
        <v>791</v>
      </c>
      <c r="P362">
        <v>0</v>
      </c>
      <c r="Q362" t="s">
        <v>791</v>
      </c>
      <c r="U362">
        <v>27</v>
      </c>
      <c r="W362" t="s">
        <v>658</v>
      </c>
      <c r="X362" t="s">
        <v>657</v>
      </c>
      <c r="Y362" t="s">
        <v>793</v>
      </c>
      <c r="AA362" t="s">
        <v>647</v>
      </c>
      <c r="AB362">
        <v>0</v>
      </c>
      <c r="AK362" t="s">
        <v>642</v>
      </c>
      <c r="AL362" t="s">
        <v>59</v>
      </c>
    </row>
    <row r="363" spans="1:39">
      <c r="A363" s="146">
        <v>46190.89570601852</v>
      </c>
      <c r="B363" s="146">
        <v>46190</v>
      </c>
      <c r="C363">
        <v>2020488</v>
      </c>
      <c r="D363" t="s">
        <v>383</v>
      </c>
      <c r="E363" t="s">
        <v>643</v>
      </c>
      <c r="F363" t="s">
        <v>650</v>
      </c>
      <c r="G363" t="s">
        <v>232</v>
      </c>
      <c r="H363" t="s">
        <v>641</v>
      </c>
      <c r="I363" t="s">
        <v>82</v>
      </c>
      <c r="J363">
        <v>930</v>
      </c>
      <c r="K363" s="141">
        <v>32.457000000000001</v>
      </c>
      <c r="O363" t="s">
        <v>791</v>
      </c>
      <c r="P363">
        <v>0</v>
      </c>
      <c r="Q363" t="s">
        <v>791</v>
      </c>
      <c r="U363">
        <v>30</v>
      </c>
      <c r="W363" t="s">
        <v>658</v>
      </c>
      <c r="X363" t="s">
        <v>657</v>
      </c>
      <c r="Y363" t="s">
        <v>794</v>
      </c>
      <c r="AA363" t="s">
        <v>647</v>
      </c>
      <c r="AB363">
        <v>0</v>
      </c>
      <c r="AK363" t="s">
        <v>642</v>
      </c>
      <c r="AL363" t="s">
        <v>290</v>
      </c>
    </row>
    <row r="364" spans="1:39">
      <c r="A364" s="146">
        <v>46190.902905092589</v>
      </c>
      <c r="B364" s="146">
        <v>46190</v>
      </c>
      <c r="C364">
        <v>2325374</v>
      </c>
      <c r="D364" t="s">
        <v>415</v>
      </c>
      <c r="E364" t="s">
        <v>643</v>
      </c>
      <c r="F364" t="s">
        <v>650</v>
      </c>
      <c r="G364" t="s">
        <v>227</v>
      </c>
      <c r="H364" t="s">
        <v>641</v>
      </c>
      <c r="I364" t="s">
        <v>96</v>
      </c>
      <c r="J364">
        <v>2210</v>
      </c>
      <c r="K364" s="141">
        <v>39.558999999999997</v>
      </c>
      <c r="O364" t="s">
        <v>791</v>
      </c>
      <c r="P364">
        <v>0</v>
      </c>
      <c r="Q364" t="s">
        <v>791</v>
      </c>
      <c r="R364" t="s">
        <v>795</v>
      </c>
      <c r="U364">
        <v>50</v>
      </c>
      <c r="W364" t="s">
        <v>658</v>
      </c>
      <c r="X364" t="s">
        <v>657</v>
      </c>
      <c r="Y364" t="s">
        <v>796</v>
      </c>
      <c r="AA364" t="s">
        <v>647</v>
      </c>
      <c r="AB364">
        <v>0</v>
      </c>
      <c r="AK364" t="s">
        <v>642</v>
      </c>
      <c r="AL364" t="s">
        <v>290</v>
      </c>
    </row>
    <row r="365" spans="1:39">
      <c r="A365" s="146">
        <v>46190.90357638889</v>
      </c>
      <c r="B365" s="146">
        <v>46190</v>
      </c>
      <c r="C365">
        <v>2325374</v>
      </c>
      <c r="D365" t="s">
        <v>415</v>
      </c>
      <c r="E365" t="s">
        <v>643</v>
      </c>
      <c r="F365" t="s">
        <v>650</v>
      </c>
      <c r="G365" t="s">
        <v>227</v>
      </c>
      <c r="H365" t="s">
        <v>641</v>
      </c>
      <c r="I365" t="s">
        <v>96</v>
      </c>
      <c r="J365">
        <v>1510</v>
      </c>
      <c r="K365" s="141">
        <v>27.029</v>
      </c>
      <c r="O365" t="s">
        <v>791</v>
      </c>
      <c r="P365">
        <v>0</v>
      </c>
      <c r="Q365" t="s">
        <v>791</v>
      </c>
      <c r="R365" t="s">
        <v>795</v>
      </c>
      <c r="U365">
        <v>50</v>
      </c>
      <c r="W365" t="s">
        <v>658</v>
      </c>
      <c r="X365" t="s">
        <v>657</v>
      </c>
      <c r="Y365" t="s">
        <v>797</v>
      </c>
      <c r="AA365" t="s">
        <v>647</v>
      </c>
      <c r="AB365">
        <v>0</v>
      </c>
      <c r="AK365" t="s">
        <v>642</v>
      </c>
      <c r="AL365" t="s">
        <v>290</v>
      </c>
    </row>
    <row r="366" spans="1:39">
      <c r="A366" s="146">
        <v>46191.172627314816</v>
      </c>
      <c r="B366" s="146">
        <v>46190</v>
      </c>
      <c r="C366">
        <v>2020390</v>
      </c>
      <c r="D366" t="s">
        <v>382</v>
      </c>
      <c r="E366" t="s">
        <v>653</v>
      </c>
      <c r="F366" t="s">
        <v>654</v>
      </c>
      <c r="G366" t="s">
        <v>237</v>
      </c>
      <c r="H366" t="s">
        <v>641</v>
      </c>
      <c r="I366" t="s">
        <v>99</v>
      </c>
      <c r="J366">
        <v>3080</v>
      </c>
      <c r="K366" s="141">
        <v>429.35199999999998</v>
      </c>
      <c r="L366">
        <v>5</v>
      </c>
      <c r="M366">
        <v>1</v>
      </c>
      <c r="N366">
        <v>435.35199999999998</v>
      </c>
      <c r="O366" t="s">
        <v>798</v>
      </c>
      <c r="P366">
        <v>0</v>
      </c>
      <c r="Q366" t="s">
        <v>798</v>
      </c>
      <c r="R366" t="s">
        <v>799</v>
      </c>
      <c r="S366">
        <v>0</v>
      </c>
      <c r="T366">
        <v>5</v>
      </c>
      <c r="U366">
        <v>10</v>
      </c>
      <c r="V366">
        <v>1.0266666666666666</v>
      </c>
      <c r="W366" t="s">
        <v>800</v>
      </c>
      <c r="X366" t="s">
        <v>801</v>
      </c>
      <c r="Y366" t="s">
        <v>802</v>
      </c>
      <c r="AA366" t="s">
        <v>419</v>
      </c>
      <c r="AB366">
        <v>0</v>
      </c>
      <c r="AG366">
        <v>7</v>
      </c>
      <c r="AH366">
        <v>3080</v>
      </c>
      <c r="AK366" t="s">
        <v>642</v>
      </c>
      <c r="AL366" t="s">
        <v>59</v>
      </c>
      <c r="AM366">
        <v>2</v>
      </c>
    </row>
    <row r="367" spans="1:39">
      <c r="A367" s="146">
        <v>46190.872870370367</v>
      </c>
      <c r="B367" s="146">
        <v>46190</v>
      </c>
      <c r="C367">
        <v>2224288</v>
      </c>
      <c r="D367" t="s">
        <v>803</v>
      </c>
      <c r="E367" t="s">
        <v>653</v>
      </c>
      <c r="F367" t="s">
        <v>650</v>
      </c>
      <c r="G367" t="s">
        <v>224</v>
      </c>
      <c r="H367" t="s">
        <v>641</v>
      </c>
      <c r="I367" t="s">
        <v>98</v>
      </c>
      <c r="J367">
        <v>1000</v>
      </c>
      <c r="K367" s="141">
        <v>21</v>
      </c>
      <c r="O367" t="s">
        <v>791</v>
      </c>
      <c r="P367">
        <v>0</v>
      </c>
      <c r="Q367" t="s">
        <v>791</v>
      </c>
      <c r="U367">
        <v>50</v>
      </c>
      <c r="W367" t="s">
        <v>658</v>
      </c>
      <c r="X367" t="s">
        <v>657</v>
      </c>
      <c r="Y367" t="s">
        <v>792</v>
      </c>
      <c r="AA367" t="s">
        <v>647</v>
      </c>
      <c r="AB367">
        <v>0</v>
      </c>
      <c r="AK367" t="s">
        <v>642</v>
      </c>
      <c r="AL367" t="s">
        <v>290</v>
      </c>
    </row>
    <row r="368" spans="1:39">
      <c r="A368" s="146">
        <v>46190.872870370367</v>
      </c>
      <c r="B368" s="146">
        <v>46190</v>
      </c>
      <c r="C368">
        <v>2226596</v>
      </c>
      <c r="D368" t="s">
        <v>656</v>
      </c>
      <c r="E368" t="s">
        <v>653</v>
      </c>
      <c r="F368" t="s">
        <v>650</v>
      </c>
      <c r="G368" t="s">
        <v>228</v>
      </c>
      <c r="H368" t="s">
        <v>641</v>
      </c>
      <c r="I368" t="s">
        <v>88</v>
      </c>
      <c r="J368">
        <v>615</v>
      </c>
      <c r="K368" s="141">
        <v>31.23</v>
      </c>
      <c r="O368" t="s">
        <v>665</v>
      </c>
      <c r="P368">
        <v>1</v>
      </c>
      <c r="Q368" t="s">
        <v>665</v>
      </c>
      <c r="U368">
        <v>21</v>
      </c>
      <c r="W368" t="s">
        <v>658</v>
      </c>
      <c r="X368" t="s">
        <v>657</v>
      </c>
      <c r="Y368" t="s">
        <v>792</v>
      </c>
      <c r="AA368" t="s">
        <v>647</v>
      </c>
      <c r="AB368">
        <v>0</v>
      </c>
      <c r="AK368" t="s">
        <v>642</v>
      </c>
      <c r="AL368" t="s">
        <v>59</v>
      </c>
    </row>
    <row r="369" spans="1:40">
      <c r="A369" s="146">
        <v>46191.218784722223</v>
      </c>
      <c r="B369" s="146">
        <v>46190</v>
      </c>
      <c r="C369">
        <v>2222332</v>
      </c>
      <c r="D369" t="s">
        <v>406</v>
      </c>
      <c r="E369" t="s">
        <v>653</v>
      </c>
      <c r="F369" t="s">
        <v>650</v>
      </c>
      <c r="G369" t="s">
        <v>229</v>
      </c>
      <c r="H369" t="s">
        <v>641</v>
      </c>
      <c r="I369" t="s">
        <v>101</v>
      </c>
      <c r="J369">
        <v>1520</v>
      </c>
      <c r="K369" s="141">
        <v>108.67999999999999</v>
      </c>
      <c r="O369" t="s">
        <v>663</v>
      </c>
      <c r="P369">
        <v>0</v>
      </c>
      <c r="Q369" t="s">
        <v>663</v>
      </c>
      <c r="U369">
        <v>45</v>
      </c>
      <c r="W369" t="s">
        <v>800</v>
      </c>
      <c r="X369" t="s">
        <v>801</v>
      </c>
      <c r="Y369" t="s">
        <v>804</v>
      </c>
      <c r="AA369" t="s">
        <v>647</v>
      </c>
      <c r="AB369">
        <v>0</v>
      </c>
      <c r="AK369" t="s">
        <v>642</v>
      </c>
      <c r="AL369" t="s">
        <v>290</v>
      </c>
    </row>
    <row r="370" spans="1:40">
      <c r="A370" s="146">
        <v>46190.856249999997</v>
      </c>
      <c r="B370" s="146">
        <v>46190</v>
      </c>
      <c r="C370">
        <v>2021645</v>
      </c>
      <c r="D370" t="s">
        <v>629</v>
      </c>
      <c r="E370" t="s">
        <v>653</v>
      </c>
      <c r="F370" t="s">
        <v>650</v>
      </c>
      <c r="G370" t="s">
        <v>231</v>
      </c>
      <c r="H370" t="s">
        <v>641</v>
      </c>
      <c r="I370" t="s">
        <v>87</v>
      </c>
      <c r="J370">
        <v>2220</v>
      </c>
      <c r="K370" s="141">
        <v>35.597999999999999</v>
      </c>
      <c r="O370" t="s">
        <v>676</v>
      </c>
      <c r="P370">
        <v>0</v>
      </c>
      <c r="Q370" t="s">
        <v>676</v>
      </c>
      <c r="R370" t="s">
        <v>789</v>
      </c>
      <c r="U370">
        <v>42</v>
      </c>
      <c r="W370" t="s">
        <v>658</v>
      </c>
      <c r="X370" t="s">
        <v>657</v>
      </c>
      <c r="Y370" t="s">
        <v>788</v>
      </c>
      <c r="AA370" t="s">
        <v>419</v>
      </c>
      <c r="AB370">
        <v>0</v>
      </c>
      <c r="AK370" t="s">
        <v>642</v>
      </c>
      <c r="AL370" t="s">
        <v>290</v>
      </c>
    </row>
    <row r="371" spans="1:40">
      <c r="A371" s="146">
        <v>46191.512928240743</v>
      </c>
      <c r="B371" s="146">
        <v>46191</v>
      </c>
      <c r="C371">
        <v>2221908</v>
      </c>
      <c r="D371" t="s">
        <v>398</v>
      </c>
      <c r="E371" t="s">
        <v>659</v>
      </c>
      <c r="F371" t="s">
        <v>650</v>
      </c>
      <c r="G371" t="s">
        <v>227</v>
      </c>
      <c r="H371" t="s">
        <v>641</v>
      </c>
      <c r="I371" t="s">
        <v>806</v>
      </c>
      <c r="J371">
        <v>1510</v>
      </c>
      <c r="K371" s="141">
        <v>44.928999999999995</v>
      </c>
      <c r="O371" t="s">
        <v>663</v>
      </c>
      <c r="P371">
        <v>0</v>
      </c>
      <c r="Q371" t="s">
        <v>663</v>
      </c>
      <c r="U371">
        <v>45</v>
      </c>
      <c r="W371" t="s">
        <v>800</v>
      </c>
      <c r="X371" t="s">
        <v>801</v>
      </c>
      <c r="Y371" t="s">
        <v>805</v>
      </c>
      <c r="AA371" t="s">
        <v>647</v>
      </c>
      <c r="AB371">
        <v>0</v>
      </c>
      <c r="AK371" t="s">
        <v>642</v>
      </c>
      <c r="AL371" t="s">
        <v>290</v>
      </c>
    </row>
    <row r="372" spans="1:40">
      <c r="A372" s="146">
        <v>46191.554039351853</v>
      </c>
      <c r="B372" s="146">
        <v>46191</v>
      </c>
      <c r="C372">
        <v>2325310</v>
      </c>
      <c r="D372" t="s">
        <v>413</v>
      </c>
      <c r="E372" t="s">
        <v>659</v>
      </c>
      <c r="F372" t="s">
        <v>650</v>
      </c>
      <c r="G372" t="s">
        <v>224</v>
      </c>
      <c r="H372" t="s">
        <v>641</v>
      </c>
      <c r="I372" t="s">
        <v>808</v>
      </c>
      <c r="J372">
        <v>1510</v>
      </c>
      <c r="K372" s="141">
        <v>27.029</v>
      </c>
      <c r="O372" t="s">
        <v>663</v>
      </c>
      <c r="P372">
        <v>0</v>
      </c>
      <c r="Q372" t="s">
        <v>663</v>
      </c>
      <c r="U372">
        <v>45</v>
      </c>
      <c r="W372" t="s">
        <v>800</v>
      </c>
      <c r="X372" t="s">
        <v>801</v>
      </c>
      <c r="Y372" t="s">
        <v>807</v>
      </c>
      <c r="AA372" t="s">
        <v>647</v>
      </c>
      <c r="AB372">
        <v>0</v>
      </c>
      <c r="AK372" t="s">
        <v>642</v>
      </c>
      <c r="AL372" t="s">
        <v>59</v>
      </c>
    </row>
    <row r="373" spans="1:40">
      <c r="A373" s="146">
        <v>46191.554039351853</v>
      </c>
      <c r="B373" s="146">
        <v>46191.554039351853</v>
      </c>
      <c r="C373">
        <v>2020965</v>
      </c>
      <c r="D373" t="s">
        <v>386</v>
      </c>
      <c r="E373" t="s">
        <v>659</v>
      </c>
      <c r="F373" t="s">
        <v>650</v>
      </c>
      <c r="G373" t="s">
        <v>228</v>
      </c>
      <c r="H373" t="s">
        <v>641</v>
      </c>
      <c r="I373" t="s">
        <v>809</v>
      </c>
      <c r="J373">
        <v>2460</v>
      </c>
      <c r="K373" s="141">
        <v>126</v>
      </c>
      <c r="O373" t="s">
        <v>665</v>
      </c>
      <c r="P373">
        <v>1</v>
      </c>
      <c r="Q373" t="s">
        <v>665</v>
      </c>
      <c r="U373">
        <v>21</v>
      </c>
      <c r="W373" t="s">
        <v>658</v>
      </c>
      <c r="X373" t="s">
        <v>657</v>
      </c>
      <c r="Y373" t="s">
        <v>792</v>
      </c>
      <c r="AA373" t="s">
        <v>647</v>
      </c>
      <c r="AB373">
        <v>0</v>
      </c>
      <c r="AK373" t="s">
        <v>642</v>
      </c>
      <c r="AL373" t="s">
        <v>59</v>
      </c>
    </row>
    <row r="374" spans="1:40">
      <c r="A374" s="146">
        <v>46191.554039351853</v>
      </c>
      <c r="B374" s="146">
        <v>46191.554039351853</v>
      </c>
      <c r="C374">
        <v>2325295</v>
      </c>
      <c r="D374" t="s">
        <v>411</v>
      </c>
      <c r="E374" t="s">
        <v>659</v>
      </c>
      <c r="F374" t="s">
        <v>650</v>
      </c>
      <c r="G374" t="s">
        <v>216</v>
      </c>
      <c r="H374" t="s">
        <v>641</v>
      </c>
      <c r="I374" t="s">
        <v>810</v>
      </c>
      <c r="J374">
        <v>1230</v>
      </c>
      <c r="K374" s="141">
        <v>63</v>
      </c>
      <c r="O374" t="s">
        <v>663</v>
      </c>
      <c r="P374">
        <v>0</v>
      </c>
      <c r="Q374" t="s">
        <v>663</v>
      </c>
      <c r="U374">
        <v>45</v>
      </c>
      <c r="W374" t="s">
        <v>800</v>
      </c>
      <c r="X374" t="s">
        <v>801</v>
      </c>
      <c r="Y374" t="s">
        <v>804</v>
      </c>
      <c r="AA374" t="s">
        <v>647</v>
      </c>
      <c r="AB374">
        <v>0</v>
      </c>
      <c r="AK374" t="s">
        <v>642</v>
      </c>
      <c r="AL374" t="s">
        <v>290</v>
      </c>
    </row>
    <row r="375" spans="1:40">
      <c r="A375" s="146">
        <v>46191.554039351853</v>
      </c>
      <c r="B375" s="146">
        <v>46191.554039351853</v>
      </c>
      <c r="C375">
        <v>2325295</v>
      </c>
      <c r="D375" t="s">
        <v>411</v>
      </c>
      <c r="E375" t="s">
        <v>659</v>
      </c>
      <c r="F375" t="s">
        <v>650</v>
      </c>
      <c r="G375" t="s">
        <v>216</v>
      </c>
      <c r="H375" t="s">
        <v>641</v>
      </c>
      <c r="I375" t="s">
        <v>811</v>
      </c>
      <c r="J375">
        <v>1230</v>
      </c>
      <c r="K375" s="141">
        <v>32</v>
      </c>
      <c r="O375" t="s">
        <v>791</v>
      </c>
      <c r="P375">
        <v>0</v>
      </c>
      <c r="Q375" t="s">
        <v>791</v>
      </c>
      <c r="U375">
        <v>27</v>
      </c>
      <c r="W375" t="s">
        <v>658</v>
      </c>
      <c r="X375" t="s">
        <v>657</v>
      </c>
      <c r="Y375" t="s">
        <v>793</v>
      </c>
      <c r="AA375" t="s">
        <v>647</v>
      </c>
      <c r="AB375">
        <v>0</v>
      </c>
      <c r="AK375" t="s">
        <v>642</v>
      </c>
      <c r="AL375" t="s">
        <v>59</v>
      </c>
    </row>
    <row r="376" spans="1:40">
      <c r="A376" s="146">
        <v>46191.90357638889</v>
      </c>
      <c r="B376" s="146">
        <v>46191</v>
      </c>
      <c r="C376">
        <v>2325374</v>
      </c>
      <c r="D376" t="s">
        <v>415</v>
      </c>
      <c r="E376" t="s">
        <v>643</v>
      </c>
      <c r="F376" t="s">
        <v>650</v>
      </c>
      <c r="G376" t="s">
        <v>759</v>
      </c>
      <c r="H376" t="s">
        <v>641</v>
      </c>
      <c r="I376" t="s">
        <v>96</v>
      </c>
      <c r="J376">
        <v>1400</v>
      </c>
      <c r="K376" s="141">
        <v>26.02</v>
      </c>
      <c r="O376" t="s">
        <v>812</v>
      </c>
      <c r="P376">
        <v>0</v>
      </c>
      <c r="Q376" t="s">
        <v>812</v>
      </c>
      <c r="R376" t="s">
        <v>813</v>
      </c>
      <c r="U376">
        <v>50</v>
      </c>
      <c r="W376" t="s">
        <v>658</v>
      </c>
      <c r="X376" t="s">
        <v>657</v>
      </c>
      <c r="Y376" t="s">
        <v>797</v>
      </c>
      <c r="AA376" t="s">
        <v>647</v>
      </c>
      <c r="AB376">
        <v>0</v>
      </c>
      <c r="AK376" t="s">
        <v>642</v>
      </c>
      <c r="AL376" t="s">
        <v>290</v>
      </c>
    </row>
    <row r="377" spans="1:40">
      <c r="A377" s="146">
        <v>46191.90357638889</v>
      </c>
      <c r="B377" s="146">
        <v>46191</v>
      </c>
      <c r="C377">
        <v>2222785</v>
      </c>
      <c r="D377" t="s">
        <v>399</v>
      </c>
      <c r="E377" t="s">
        <v>643</v>
      </c>
      <c r="F377" t="s">
        <v>650</v>
      </c>
      <c r="G377" t="s">
        <v>223</v>
      </c>
      <c r="H377" t="s">
        <v>641</v>
      </c>
      <c r="I377" t="s">
        <v>82</v>
      </c>
      <c r="J377">
        <v>1860</v>
      </c>
      <c r="K377" s="141">
        <v>95.975999999999999</v>
      </c>
      <c r="O377" t="s">
        <v>733</v>
      </c>
      <c r="P377">
        <v>0</v>
      </c>
      <c r="Q377" t="s">
        <v>733</v>
      </c>
      <c r="U377">
        <v>27</v>
      </c>
      <c r="W377" t="s">
        <v>658</v>
      </c>
      <c r="X377" t="s">
        <v>657</v>
      </c>
      <c r="Y377" t="s">
        <v>751</v>
      </c>
      <c r="AA377" t="s">
        <v>647</v>
      </c>
      <c r="AB377">
        <v>0</v>
      </c>
      <c r="AK377" t="s">
        <v>642</v>
      </c>
      <c r="AL377" t="s">
        <v>290</v>
      </c>
    </row>
    <row r="378" spans="1:40">
      <c r="A378" s="146">
        <v>46191.90357638889</v>
      </c>
      <c r="B378" s="146">
        <v>46191</v>
      </c>
      <c r="C378">
        <v>2020488</v>
      </c>
      <c r="D378" t="s">
        <v>383</v>
      </c>
      <c r="E378" t="s">
        <v>643</v>
      </c>
      <c r="F378" t="s">
        <v>650</v>
      </c>
      <c r="G378" t="s">
        <v>222</v>
      </c>
      <c r="H378" t="s">
        <v>641</v>
      </c>
      <c r="I378" t="s">
        <v>815</v>
      </c>
      <c r="J378">
        <v>4420</v>
      </c>
      <c r="K378" s="141">
        <v>32.457000000000001</v>
      </c>
      <c r="O378" t="s">
        <v>791</v>
      </c>
      <c r="P378">
        <v>0</v>
      </c>
      <c r="Q378" t="s">
        <v>791</v>
      </c>
      <c r="U378">
        <v>30</v>
      </c>
      <c r="W378" t="s">
        <v>658</v>
      </c>
      <c r="X378" t="s">
        <v>657</v>
      </c>
      <c r="Y378" t="s">
        <v>794</v>
      </c>
      <c r="AA378" t="s">
        <v>647</v>
      </c>
      <c r="AB378">
        <v>0</v>
      </c>
      <c r="AK378" t="s">
        <v>642</v>
      </c>
      <c r="AL378" t="s">
        <v>290</v>
      </c>
    </row>
    <row r="379" spans="1:40" s="159" customFormat="1">
      <c r="A379" s="146">
        <v>46191.90357638889</v>
      </c>
      <c r="B379" s="146">
        <v>46191</v>
      </c>
      <c r="C379">
        <v>2325301</v>
      </c>
      <c r="D379" t="s">
        <v>412</v>
      </c>
      <c r="E379" t="s">
        <v>643</v>
      </c>
      <c r="F379" t="s">
        <v>650</v>
      </c>
      <c r="G379" s="159" t="s">
        <v>229</v>
      </c>
      <c r="H379" s="159" t="s">
        <v>641</v>
      </c>
      <c r="I379" s="159" t="s">
        <v>816</v>
      </c>
      <c r="J379" s="159">
        <v>510</v>
      </c>
      <c r="K379" s="160">
        <v>33</v>
      </c>
      <c r="O379" s="159" t="s">
        <v>663</v>
      </c>
      <c r="P379" s="159">
        <v>0</v>
      </c>
      <c r="Q379" s="159" t="s">
        <v>663</v>
      </c>
      <c r="U379" s="159">
        <v>45</v>
      </c>
      <c r="W379" s="159" t="s">
        <v>800</v>
      </c>
      <c r="X379" s="159" t="s">
        <v>801</v>
      </c>
      <c r="Y379" s="159" t="s">
        <v>804</v>
      </c>
      <c r="AA379" t="s">
        <v>419</v>
      </c>
      <c r="AB379" s="159">
        <v>0</v>
      </c>
      <c r="AK379" s="159" t="s">
        <v>642</v>
      </c>
      <c r="AL379" s="159" t="s">
        <v>290</v>
      </c>
      <c r="AN379" s="161"/>
    </row>
    <row r="380" spans="1:40">
      <c r="A380" s="146">
        <v>46191.90357638889</v>
      </c>
      <c r="B380" s="146">
        <v>46191</v>
      </c>
      <c r="C380">
        <v>2325301</v>
      </c>
      <c r="D380" t="s">
        <v>412</v>
      </c>
      <c r="E380" t="s">
        <v>643</v>
      </c>
      <c r="F380" t="s">
        <v>650</v>
      </c>
      <c r="G380" t="s">
        <v>224</v>
      </c>
      <c r="H380" t="s">
        <v>641</v>
      </c>
      <c r="I380" t="s">
        <v>818</v>
      </c>
      <c r="J380">
        <v>1510</v>
      </c>
      <c r="K380" s="141">
        <v>25</v>
      </c>
      <c r="O380" t="s">
        <v>791</v>
      </c>
      <c r="P380">
        <v>0</v>
      </c>
      <c r="Q380" t="s">
        <v>791</v>
      </c>
      <c r="R380" t="s">
        <v>817</v>
      </c>
      <c r="U380">
        <v>45</v>
      </c>
      <c r="W380" t="s">
        <v>658</v>
      </c>
      <c r="X380" t="s">
        <v>657</v>
      </c>
      <c r="Y380" t="s">
        <v>796</v>
      </c>
      <c r="AA380" t="s">
        <v>419</v>
      </c>
      <c r="AB380">
        <v>0</v>
      </c>
      <c r="AK380" t="s">
        <v>642</v>
      </c>
      <c r="AL380" t="s">
        <v>290</v>
      </c>
    </row>
    <row r="381" spans="1:40">
      <c r="A381" s="146">
        <v>46191.90357638889</v>
      </c>
      <c r="B381" s="146">
        <v>46191</v>
      </c>
      <c r="C381">
        <v>2222785</v>
      </c>
      <c r="D381" t="s">
        <v>399</v>
      </c>
      <c r="E381" t="s">
        <v>643</v>
      </c>
      <c r="F381" t="s">
        <v>654</v>
      </c>
      <c r="G381" t="s">
        <v>250</v>
      </c>
      <c r="H381" t="s">
        <v>641</v>
      </c>
      <c r="I381" t="s">
        <v>99</v>
      </c>
      <c r="J381">
        <v>880</v>
      </c>
      <c r="K381" s="141">
        <f>2*58.548</f>
        <v>117.096</v>
      </c>
      <c r="O381" t="s">
        <v>733</v>
      </c>
      <c r="P381">
        <v>0</v>
      </c>
      <c r="Q381" t="s">
        <v>733</v>
      </c>
      <c r="U381">
        <v>10</v>
      </c>
      <c r="W381" t="s">
        <v>658</v>
      </c>
      <c r="X381" t="s">
        <v>657</v>
      </c>
      <c r="Y381" t="s">
        <v>746</v>
      </c>
      <c r="AA381" t="s">
        <v>419</v>
      </c>
      <c r="AB381">
        <v>0</v>
      </c>
      <c r="AK381" t="s">
        <v>642</v>
      </c>
      <c r="AL381" t="s">
        <v>290</v>
      </c>
    </row>
    <row r="382" spans="1:40">
      <c r="A382" s="146">
        <v>46192.17465277778</v>
      </c>
      <c r="B382" s="146">
        <v>46191</v>
      </c>
      <c r="C382">
        <v>2020390</v>
      </c>
      <c r="D382" t="s">
        <v>382</v>
      </c>
      <c r="E382" t="s">
        <v>653</v>
      </c>
      <c r="F382" t="s">
        <v>654</v>
      </c>
      <c r="G382" t="s">
        <v>250</v>
      </c>
      <c r="H382" t="s">
        <v>641</v>
      </c>
      <c r="I382" t="s">
        <v>99</v>
      </c>
      <c r="J382">
        <v>3080</v>
      </c>
      <c r="K382" s="141">
        <v>429.35199999999998</v>
      </c>
      <c r="L382">
        <v>140</v>
      </c>
      <c r="M382">
        <v>4</v>
      </c>
      <c r="N382">
        <v>573.35199999999998</v>
      </c>
      <c r="O382" t="s">
        <v>814</v>
      </c>
      <c r="P382">
        <v>0</v>
      </c>
      <c r="Q382" t="s">
        <v>814</v>
      </c>
      <c r="R382" t="s">
        <v>819</v>
      </c>
      <c r="S382">
        <v>3</v>
      </c>
      <c r="T382">
        <v>8</v>
      </c>
      <c r="U382">
        <v>10</v>
      </c>
      <c r="V382">
        <v>0.64166666666666672</v>
      </c>
      <c r="W382" t="s">
        <v>800</v>
      </c>
      <c r="X382" t="s">
        <v>801</v>
      </c>
      <c r="Y382" t="s">
        <v>820</v>
      </c>
      <c r="AA382" t="s">
        <v>419</v>
      </c>
      <c r="AB382">
        <v>0</v>
      </c>
      <c r="AH382">
        <v>3080</v>
      </c>
      <c r="AK382" t="s">
        <v>642</v>
      </c>
      <c r="AL382" t="s">
        <v>290</v>
      </c>
      <c r="AM382">
        <v>2</v>
      </c>
    </row>
    <row r="383" spans="1:40">
      <c r="A383" s="146">
        <v>46192.199247685188</v>
      </c>
      <c r="B383" s="146">
        <v>46191</v>
      </c>
      <c r="C383">
        <v>2222332</v>
      </c>
      <c r="D383" t="s">
        <v>406</v>
      </c>
      <c r="E383" t="s">
        <v>653</v>
      </c>
      <c r="F383" t="s">
        <v>650</v>
      </c>
      <c r="G383" t="s">
        <v>224</v>
      </c>
      <c r="H383" t="s">
        <v>641</v>
      </c>
      <c r="I383" t="s">
        <v>81</v>
      </c>
      <c r="J383">
        <v>1510</v>
      </c>
      <c r="K383" s="141">
        <v>27.029</v>
      </c>
      <c r="O383" t="s">
        <v>814</v>
      </c>
      <c r="P383">
        <v>0</v>
      </c>
      <c r="Q383" t="s">
        <v>814</v>
      </c>
      <c r="U383">
        <v>45</v>
      </c>
      <c r="W383" t="s">
        <v>800</v>
      </c>
      <c r="X383" t="s">
        <v>801</v>
      </c>
      <c r="Y383" t="s">
        <v>821</v>
      </c>
      <c r="AA383" t="s">
        <v>419</v>
      </c>
      <c r="AB383">
        <v>0</v>
      </c>
      <c r="AK383" t="s">
        <v>642</v>
      </c>
      <c r="AL383" t="s">
        <v>59</v>
      </c>
    </row>
    <row r="384" spans="1:40">
      <c r="A384" s="146">
        <v>46192.200057870374</v>
      </c>
      <c r="B384" s="146">
        <v>46191</v>
      </c>
      <c r="C384">
        <v>2222332</v>
      </c>
      <c r="D384" t="s">
        <v>406</v>
      </c>
      <c r="E384" t="s">
        <v>653</v>
      </c>
      <c r="F384" t="s">
        <v>650</v>
      </c>
      <c r="G384" t="s">
        <v>229</v>
      </c>
      <c r="H384" t="s">
        <v>641</v>
      </c>
      <c r="I384" t="s">
        <v>101</v>
      </c>
      <c r="J384">
        <v>1530</v>
      </c>
      <c r="K384" s="141">
        <v>109.395</v>
      </c>
      <c r="O384" t="s">
        <v>814</v>
      </c>
      <c r="P384">
        <v>0</v>
      </c>
      <c r="Q384" t="s">
        <v>814</v>
      </c>
      <c r="U384">
        <v>17</v>
      </c>
      <c r="W384" t="s">
        <v>800</v>
      </c>
      <c r="X384" t="s">
        <v>801</v>
      </c>
      <c r="Y384" t="s">
        <v>822</v>
      </c>
      <c r="AA384" t="s">
        <v>419</v>
      </c>
      <c r="AB384">
        <v>0</v>
      </c>
      <c r="AK384" t="s">
        <v>642</v>
      </c>
      <c r="AL384" t="s">
        <v>290</v>
      </c>
    </row>
    <row r="385" spans="1:39">
      <c r="A385" s="146">
        <v>46192.203310185185</v>
      </c>
      <c r="B385" s="146">
        <v>46191</v>
      </c>
      <c r="C385">
        <v>2223535</v>
      </c>
      <c r="D385" t="s">
        <v>400</v>
      </c>
      <c r="E385" t="s">
        <v>653</v>
      </c>
      <c r="F385" t="s">
        <v>650</v>
      </c>
      <c r="G385" t="s">
        <v>422</v>
      </c>
      <c r="H385" t="s">
        <v>641</v>
      </c>
      <c r="I385" t="s">
        <v>825</v>
      </c>
      <c r="J385">
        <v>2040</v>
      </c>
      <c r="K385" s="141">
        <v>145.85999999999999</v>
      </c>
      <c r="O385" t="s">
        <v>814</v>
      </c>
      <c r="P385">
        <v>0</v>
      </c>
      <c r="Q385" t="s">
        <v>814</v>
      </c>
      <c r="R385" t="s">
        <v>823</v>
      </c>
      <c r="U385">
        <v>17</v>
      </c>
      <c r="W385" t="s">
        <v>800</v>
      </c>
      <c r="X385" t="s">
        <v>801</v>
      </c>
      <c r="Y385" t="s">
        <v>824</v>
      </c>
      <c r="AA385" t="s">
        <v>419</v>
      </c>
      <c r="AB385">
        <v>0</v>
      </c>
      <c r="AK385" t="s">
        <v>642</v>
      </c>
      <c r="AL385" t="s">
        <v>59</v>
      </c>
    </row>
    <row r="386" spans="1:39">
      <c r="A386" s="146">
        <v>46192.204953703702</v>
      </c>
      <c r="B386" s="146">
        <v>46191</v>
      </c>
      <c r="C386">
        <v>2223535</v>
      </c>
      <c r="D386" t="s">
        <v>400</v>
      </c>
      <c r="E386" t="s">
        <v>653</v>
      </c>
      <c r="F386" t="s">
        <v>650</v>
      </c>
      <c r="G386" t="s">
        <v>231</v>
      </c>
      <c r="H386" t="s">
        <v>641</v>
      </c>
      <c r="I386" t="s">
        <v>86</v>
      </c>
      <c r="J386">
        <v>3210</v>
      </c>
      <c r="K386" s="141">
        <v>27.927</v>
      </c>
      <c r="O386" t="s">
        <v>826</v>
      </c>
      <c r="P386">
        <v>0</v>
      </c>
      <c r="Q386" t="s">
        <v>826</v>
      </c>
      <c r="R386" t="s">
        <v>827</v>
      </c>
      <c r="U386">
        <v>60</v>
      </c>
      <c r="W386" t="s">
        <v>800</v>
      </c>
      <c r="X386" t="s">
        <v>801</v>
      </c>
      <c r="Y386" t="s">
        <v>828</v>
      </c>
      <c r="AA386" t="s">
        <v>647</v>
      </c>
      <c r="AB386">
        <v>0</v>
      </c>
      <c r="AK386" t="s">
        <v>642</v>
      </c>
      <c r="AL386" t="s">
        <v>290</v>
      </c>
    </row>
    <row r="387" spans="1:39">
      <c r="A387" s="146">
        <v>46192.205474537041</v>
      </c>
      <c r="B387" s="146">
        <v>46191</v>
      </c>
      <c r="C387">
        <v>2223535</v>
      </c>
      <c r="D387" t="s">
        <v>400</v>
      </c>
      <c r="E387" t="s">
        <v>653</v>
      </c>
      <c r="F387" t="s">
        <v>650</v>
      </c>
      <c r="G387" t="s">
        <v>226</v>
      </c>
      <c r="H387" t="s">
        <v>641</v>
      </c>
      <c r="I387" t="s">
        <v>86</v>
      </c>
      <c r="J387">
        <v>3210</v>
      </c>
      <c r="K387" s="141">
        <v>27.927</v>
      </c>
      <c r="O387" t="s">
        <v>826</v>
      </c>
      <c r="P387">
        <v>0</v>
      </c>
      <c r="Q387" t="s">
        <v>826</v>
      </c>
      <c r="R387" t="s">
        <v>721</v>
      </c>
      <c r="U387">
        <v>60</v>
      </c>
      <c r="W387" t="s">
        <v>800</v>
      </c>
      <c r="X387" t="s">
        <v>801</v>
      </c>
      <c r="Y387" t="s">
        <v>829</v>
      </c>
      <c r="AA387" t="s">
        <v>647</v>
      </c>
      <c r="AB387">
        <v>0</v>
      </c>
      <c r="AK387" t="s">
        <v>642</v>
      </c>
      <c r="AL387" t="s">
        <v>59</v>
      </c>
    </row>
    <row r="388" spans="1:39">
      <c r="A388" s="146">
        <v>46192.207280092596</v>
      </c>
      <c r="B388" s="146">
        <v>46191</v>
      </c>
      <c r="C388">
        <v>2226596</v>
      </c>
      <c r="D388" t="s">
        <v>403</v>
      </c>
      <c r="E388" t="s">
        <v>653</v>
      </c>
      <c r="F388" t="s">
        <v>650</v>
      </c>
      <c r="G388" t="s">
        <v>227</v>
      </c>
      <c r="H388" t="s">
        <v>641</v>
      </c>
      <c r="I388" t="s">
        <v>89</v>
      </c>
      <c r="J388">
        <v>3430</v>
      </c>
      <c r="K388" s="141">
        <v>61.396999999999998</v>
      </c>
      <c r="O388" t="s">
        <v>826</v>
      </c>
      <c r="P388">
        <v>0</v>
      </c>
      <c r="Q388" t="s">
        <v>826</v>
      </c>
      <c r="R388" t="s">
        <v>830</v>
      </c>
      <c r="U388">
        <v>45</v>
      </c>
      <c r="W388" t="s">
        <v>800</v>
      </c>
      <c r="X388" t="s">
        <v>801</v>
      </c>
      <c r="Y388" t="s">
        <v>831</v>
      </c>
      <c r="AA388" t="s">
        <v>647</v>
      </c>
      <c r="AB388">
        <v>0</v>
      </c>
      <c r="AK388" t="s">
        <v>642</v>
      </c>
      <c r="AL388" t="s">
        <v>290</v>
      </c>
    </row>
    <row r="389" spans="1:39">
      <c r="A389" s="146">
        <v>46192.218090277776</v>
      </c>
      <c r="B389" s="146">
        <v>46191</v>
      </c>
      <c r="C389">
        <v>2021645</v>
      </c>
      <c r="D389" t="s">
        <v>629</v>
      </c>
      <c r="E389" t="s">
        <v>653</v>
      </c>
      <c r="F389" t="s">
        <v>650</v>
      </c>
      <c r="G389" t="s">
        <v>230</v>
      </c>
      <c r="H389" t="s">
        <v>641</v>
      </c>
      <c r="I389" t="s">
        <v>87</v>
      </c>
      <c r="J389">
        <v>3210</v>
      </c>
      <c r="K389" s="141">
        <v>27.927</v>
      </c>
      <c r="O389" t="s">
        <v>826</v>
      </c>
      <c r="P389">
        <v>0</v>
      </c>
      <c r="Q389" t="s">
        <v>826</v>
      </c>
      <c r="U389">
        <v>70</v>
      </c>
      <c r="W389" t="s">
        <v>800</v>
      </c>
      <c r="X389" t="s">
        <v>801</v>
      </c>
      <c r="Y389" t="s">
        <v>832</v>
      </c>
      <c r="AA389" t="s">
        <v>647</v>
      </c>
      <c r="AB389">
        <v>0</v>
      </c>
      <c r="AK389" t="s">
        <v>642</v>
      </c>
      <c r="AL389" t="s">
        <v>290</v>
      </c>
    </row>
    <row r="390" spans="1:39">
      <c r="A390" s="146">
        <v>46192.218773148146</v>
      </c>
      <c r="B390" s="146">
        <v>46191</v>
      </c>
      <c r="C390">
        <v>2021645</v>
      </c>
      <c r="D390" t="s">
        <v>629</v>
      </c>
      <c r="E390" t="s">
        <v>653</v>
      </c>
      <c r="F390" t="s">
        <v>650</v>
      </c>
      <c r="G390" t="s">
        <v>223</v>
      </c>
      <c r="H390" t="s">
        <v>641</v>
      </c>
      <c r="I390" t="s">
        <v>94</v>
      </c>
      <c r="J390">
        <v>2330</v>
      </c>
      <c r="K390" s="141">
        <v>27.029</v>
      </c>
      <c r="O390" t="s">
        <v>814</v>
      </c>
      <c r="P390">
        <v>0</v>
      </c>
      <c r="Q390" t="s">
        <v>814</v>
      </c>
      <c r="U390">
        <v>42</v>
      </c>
      <c r="W390" t="s">
        <v>800</v>
      </c>
      <c r="X390" t="s">
        <v>801</v>
      </c>
      <c r="Y390" t="s">
        <v>833</v>
      </c>
      <c r="AA390" t="s">
        <v>419</v>
      </c>
      <c r="AB390">
        <v>0</v>
      </c>
      <c r="AK390" t="s">
        <v>642</v>
      </c>
      <c r="AL390" t="s">
        <v>670</v>
      </c>
    </row>
    <row r="391" spans="1:39">
      <c r="A391" s="146">
        <v>46192.225034722222</v>
      </c>
      <c r="B391" s="146">
        <v>46191</v>
      </c>
      <c r="C391">
        <v>2241656</v>
      </c>
      <c r="D391" t="s">
        <v>409</v>
      </c>
      <c r="E391" t="s">
        <v>653</v>
      </c>
      <c r="F391" t="s">
        <v>654</v>
      </c>
      <c r="G391" t="s">
        <v>254</v>
      </c>
      <c r="H391" t="s">
        <v>641</v>
      </c>
      <c r="I391" t="s">
        <v>95</v>
      </c>
      <c r="J391">
        <v>1220</v>
      </c>
      <c r="K391" s="141">
        <v>62.951999999999998</v>
      </c>
      <c r="L391">
        <v>60</v>
      </c>
      <c r="N391">
        <v>122.952</v>
      </c>
      <c r="O391" t="s">
        <v>674</v>
      </c>
      <c r="P391">
        <v>0</v>
      </c>
      <c r="Q391" t="s">
        <v>674</v>
      </c>
      <c r="S391">
        <v>0</v>
      </c>
      <c r="T391">
        <v>1</v>
      </c>
      <c r="U391">
        <v>27</v>
      </c>
      <c r="V391">
        <v>0.75308641975308643</v>
      </c>
      <c r="W391" t="s">
        <v>800</v>
      </c>
      <c r="X391" t="s">
        <v>801</v>
      </c>
      <c r="Y391" t="s">
        <v>834</v>
      </c>
      <c r="AA391" t="s">
        <v>419</v>
      </c>
      <c r="AB391">
        <v>0</v>
      </c>
      <c r="AI391">
        <v>1</v>
      </c>
      <c r="AJ391">
        <v>1220</v>
      </c>
      <c r="AK391" t="s">
        <v>642</v>
      </c>
      <c r="AL391" t="s">
        <v>290</v>
      </c>
      <c r="AM391">
        <v>2</v>
      </c>
    </row>
    <row r="392" spans="1:39">
      <c r="A392" s="146">
        <v>46192.225034722222</v>
      </c>
      <c r="B392" s="146">
        <v>46191</v>
      </c>
      <c r="C392">
        <v>2241656</v>
      </c>
      <c r="D392" t="s">
        <v>409</v>
      </c>
      <c r="E392" t="s">
        <v>653</v>
      </c>
      <c r="F392" t="s">
        <v>654</v>
      </c>
      <c r="G392" t="s">
        <v>248</v>
      </c>
      <c r="H392" t="s">
        <v>641</v>
      </c>
      <c r="I392" t="s">
        <v>95</v>
      </c>
      <c r="J392">
        <v>630</v>
      </c>
      <c r="K392" s="141">
        <v>0</v>
      </c>
      <c r="O392" t="s">
        <v>674</v>
      </c>
      <c r="P392">
        <v>0</v>
      </c>
      <c r="Q392" t="s">
        <v>674</v>
      </c>
      <c r="U392">
        <v>27</v>
      </c>
      <c r="W392" t="s">
        <v>800</v>
      </c>
      <c r="X392" t="s">
        <v>801</v>
      </c>
      <c r="Y392" t="s">
        <v>834</v>
      </c>
      <c r="AA392" t="s">
        <v>419</v>
      </c>
      <c r="AB392">
        <v>0</v>
      </c>
      <c r="AK392" t="s">
        <v>642</v>
      </c>
      <c r="AL392" t="s">
        <v>290</v>
      </c>
    </row>
    <row r="393" spans="1:39">
      <c r="A393" s="146">
        <v>46192</v>
      </c>
      <c r="B393" s="146">
        <v>46191</v>
      </c>
      <c r="C393">
        <v>2241656</v>
      </c>
      <c r="D393" t="s">
        <v>409</v>
      </c>
      <c r="E393" t="s">
        <v>653</v>
      </c>
      <c r="F393" t="s">
        <v>650</v>
      </c>
      <c r="G393" t="s">
        <v>216</v>
      </c>
      <c r="H393" t="s">
        <v>641</v>
      </c>
      <c r="I393" t="s">
        <v>95</v>
      </c>
      <c r="J393">
        <v>1220</v>
      </c>
      <c r="K393" s="141">
        <v>62.951999999999998</v>
      </c>
      <c r="L393">
        <v>60</v>
      </c>
      <c r="N393">
        <v>122.952</v>
      </c>
      <c r="O393" t="s">
        <v>674</v>
      </c>
      <c r="P393">
        <v>0</v>
      </c>
      <c r="Q393" t="s">
        <v>674</v>
      </c>
      <c r="S393">
        <v>0</v>
      </c>
      <c r="T393">
        <v>1</v>
      </c>
      <c r="U393">
        <v>27</v>
      </c>
      <c r="V393">
        <v>0.75308641975308643</v>
      </c>
      <c r="W393" t="s">
        <v>800</v>
      </c>
      <c r="X393" t="s">
        <v>801</v>
      </c>
      <c r="Y393" t="s">
        <v>834</v>
      </c>
      <c r="AA393" t="s">
        <v>419</v>
      </c>
      <c r="AB393">
        <v>0</v>
      </c>
      <c r="AI393">
        <v>1</v>
      </c>
      <c r="AJ393">
        <v>1220</v>
      </c>
      <c r="AK393" t="s">
        <v>642</v>
      </c>
      <c r="AL393" t="s">
        <v>290</v>
      </c>
      <c r="AM393">
        <v>2</v>
      </c>
    </row>
    <row r="394" spans="1:39">
      <c r="A394" s="146">
        <v>46192.482048611113</v>
      </c>
      <c r="B394" s="146">
        <v>46192</v>
      </c>
      <c r="C394">
        <v>2325310</v>
      </c>
      <c r="D394" t="s">
        <v>413</v>
      </c>
      <c r="E394" t="s">
        <v>659</v>
      </c>
      <c r="F394" t="s">
        <v>650</v>
      </c>
      <c r="G394" t="s">
        <v>224</v>
      </c>
      <c r="H394" t="s">
        <v>641</v>
      </c>
      <c r="I394" t="s">
        <v>836</v>
      </c>
      <c r="J394">
        <v>800</v>
      </c>
      <c r="K394" s="141">
        <v>14.32</v>
      </c>
      <c r="O394" t="s">
        <v>674</v>
      </c>
      <c r="P394">
        <v>2</v>
      </c>
      <c r="Q394" t="s">
        <v>674</v>
      </c>
      <c r="U394">
        <v>45</v>
      </c>
      <c r="W394" t="s">
        <v>800</v>
      </c>
      <c r="X394" t="s">
        <v>801</v>
      </c>
      <c r="Y394" t="s">
        <v>835</v>
      </c>
      <c r="AA394" t="s">
        <v>419</v>
      </c>
      <c r="AB394">
        <v>0</v>
      </c>
      <c r="AK394" t="s">
        <v>642</v>
      </c>
      <c r="AL394" t="s">
        <v>59</v>
      </c>
    </row>
    <row r="395" spans="1:39">
      <c r="A395" s="146">
        <v>46192.483252314814</v>
      </c>
      <c r="B395" s="146">
        <v>46192</v>
      </c>
      <c r="C395">
        <v>2325310</v>
      </c>
      <c r="D395" t="s">
        <v>413</v>
      </c>
      <c r="E395" t="s">
        <v>659</v>
      </c>
      <c r="F395" t="s">
        <v>650</v>
      </c>
      <c r="G395" t="s">
        <v>229</v>
      </c>
      <c r="H395" t="s">
        <v>641</v>
      </c>
      <c r="I395" t="s">
        <v>838</v>
      </c>
      <c r="J395">
        <v>180</v>
      </c>
      <c r="K395" s="141">
        <v>12.87</v>
      </c>
      <c r="O395" t="s">
        <v>674</v>
      </c>
      <c r="P395">
        <v>0</v>
      </c>
      <c r="Q395" t="s">
        <v>674</v>
      </c>
      <c r="U395">
        <v>17</v>
      </c>
      <c r="W395" t="s">
        <v>800</v>
      </c>
      <c r="X395" t="s">
        <v>801</v>
      </c>
      <c r="Y395" t="s">
        <v>837</v>
      </c>
      <c r="AA395" t="s">
        <v>419</v>
      </c>
      <c r="AB395">
        <v>0</v>
      </c>
      <c r="AK395" t="s">
        <v>642</v>
      </c>
      <c r="AL395" t="s">
        <v>290</v>
      </c>
    </row>
    <row r="396" spans="1:39">
      <c r="A396" s="146">
        <v>46192.482048611113</v>
      </c>
      <c r="B396" s="146">
        <v>46192</v>
      </c>
      <c r="C396">
        <v>2325310</v>
      </c>
      <c r="D396" t="s">
        <v>413</v>
      </c>
      <c r="E396" t="s">
        <v>659</v>
      </c>
      <c r="F396" t="s">
        <v>650</v>
      </c>
      <c r="G396" t="s">
        <v>224</v>
      </c>
      <c r="H396" t="s">
        <v>641</v>
      </c>
      <c r="I396" t="s">
        <v>839</v>
      </c>
      <c r="J396">
        <v>1510</v>
      </c>
      <c r="K396" s="141">
        <v>14.32</v>
      </c>
      <c r="O396" t="s">
        <v>674</v>
      </c>
      <c r="P396">
        <v>2</v>
      </c>
      <c r="Q396" t="s">
        <v>674</v>
      </c>
      <c r="U396">
        <v>45</v>
      </c>
      <c r="W396" t="s">
        <v>800</v>
      </c>
      <c r="X396" t="s">
        <v>801</v>
      </c>
      <c r="Y396" t="s">
        <v>835</v>
      </c>
      <c r="AA396" t="s">
        <v>419</v>
      </c>
      <c r="AB396">
        <v>0</v>
      </c>
      <c r="AK396" t="s">
        <v>642</v>
      </c>
      <c r="AL396" t="s">
        <v>59</v>
      </c>
    </row>
    <row r="397" spans="1:39">
      <c r="A397" s="146">
        <v>46192.483252314814</v>
      </c>
      <c r="B397" s="146">
        <v>46192</v>
      </c>
      <c r="C397">
        <v>2325310</v>
      </c>
      <c r="D397" t="s">
        <v>413</v>
      </c>
      <c r="E397" t="s">
        <v>659</v>
      </c>
      <c r="F397" t="s">
        <v>650</v>
      </c>
      <c r="G397" t="s">
        <v>229</v>
      </c>
      <c r="H397" t="s">
        <v>641</v>
      </c>
      <c r="I397" t="s">
        <v>840</v>
      </c>
      <c r="J397">
        <v>1020</v>
      </c>
      <c r="K397" s="141">
        <v>12.87</v>
      </c>
      <c r="O397" t="s">
        <v>674</v>
      </c>
      <c r="P397">
        <v>0</v>
      </c>
      <c r="Q397" t="s">
        <v>674</v>
      </c>
      <c r="U397">
        <v>17</v>
      </c>
      <c r="W397" t="s">
        <v>800</v>
      </c>
      <c r="X397" t="s">
        <v>801</v>
      </c>
      <c r="Y397" t="s">
        <v>837</v>
      </c>
      <c r="AA397" t="s">
        <v>419</v>
      </c>
      <c r="AB397">
        <v>0</v>
      </c>
      <c r="AK397" t="s">
        <v>642</v>
      </c>
      <c r="AL397" t="s">
        <v>290</v>
      </c>
    </row>
    <row r="398" spans="1:39">
      <c r="A398" s="146">
        <v>46192.515486111108</v>
      </c>
      <c r="B398" s="146">
        <v>46192</v>
      </c>
      <c r="C398">
        <v>2325295</v>
      </c>
      <c r="D398" t="s">
        <v>411</v>
      </c>
      <c r="E398" t="s">
        <v>659</v>
      </c>
      <c r="F398" t="s">
        <v>650</v>
      </c>
      <c r="G398" t="s">
        <v>223</v>
      </c>
      <c r="H398" t="s">
        <v>641</v>
      </c>
      <c r="I398" t="s">
        <v>94</v>
      </c>
      <c r="J398">
        <v>2300</v>
      </c>
      <c r="K398" s="141">
        <v>80.27</v>
      </c>
      <c r="O398" t="s">
        <v>674</v>
      </c>
      <c r="P398">
        <v>0</v>
      </c>
      <c r="Q398" t="s">
        <v>674</v>
      </c>
      <c r="U398">
        <v>42</v>
      </c>
      <c r="W398" t="s">
        <v>800</v>
      </c>
      <c r="X398" t="s">
        <v>801</v>
      </c>
      <c r="Y398" t="s">
        <v>841</v>
      </c>
      <c r="AA398" t="s">
        <v>419</v>
      </c>
      <c r="AB398">
        <v>0</v>
      </c>
      <c r="AK398" t="s">
        <v>642</v>
      </c>
      <c r="AL398" t="s">
        <v>290</v>
      </c>
    </row>
    <row r="399" spans="1:39">
      <c r="A399" s="146">
        <v>46192.515486111108</v>
      </c>
      <c r="B399" s="146">
        <v>46192.515486111108</v>
      </c>
      <c r="C399">
        <v>2020965</v>
      </c>
      <c r="D399" t="s">
        <v>386</v>
      </c>
      <c r="E399" t="s">
        <v>659</v>
      </c>
      <c r="F399" t="s">
        <v>650</v>
      </c>
      <c r="G399" t="s">
        <v>222</v>
      </c>
      <c r="H399" t="s">
        <v>641</v>
      </c>
      <c r="I399" t="s">
        <v>842</v>
      </c>
      <c r="J399">
        <v>6040</v>
      </c>
      <c r="K399" s="141">
        <f>32.457*2</f>
        <v>64.914000000000001</v>
      </c>
      <c r="O399" t="s">
        <v>791</v>
      </c>
      <c r="P399">
        <v>0</v>
      </c>
      <c r="Q399" t="s">
        <v>791</v>
      </c>
      <c r="U399">
        <v>30</v>
      </c>
      <c r="W399" t="s">
        <v>658</v>
      </c>
      <c r="X399" t="s">
        <v>657</v>
      </c>
      <c r="Y399" t="s">
        <v>794</v>
      </c>
      <c r="AA399" t="s">
        <v>647</v>
      </c>
      <c r="AB399">
        <v>0</v>
      </c>
      <c r="AK399" t="s">
        <v>642</v>
      </c>
      <c r="AL399" t="s">
        <v>290</v>
      </c>
    </row>
    <row r="400" spans="1:39">
      <c r="A400" s="146">
        <v>46192.515486111108</v>
      </c>
      <c r="B400" s="146">
        <v>46192.515486111108</v>
      </c>
      <c r="C400">
        <v>2020965</v>
      </c>
      <c r="D400" t="s">
        <v>386</v>
      </c>
      <c r="E400" t="s">
        <v>659</v>
      </c>
      <c r="F400" t="s">
        <v>650</v>
      </c>
      <c r="G400" t="s">
        <v>228</v>
      </c>
      <c r="H400" t="s">
        <v>641</v>
      </c>
      <c r="I400" t="s">
        <v>843</v>
      </c>
      <c r="J400">
        <v>1845</v>
      </c>
      <c r="K400" s="141">
        <v>95</v>
      </c>
      <c r="O400" t="s">
        <v>665</v>
      </c>
      <c r="P400">
        <v>1</v>
      </c>
      <c r="Q400" t="s">
        <v>665</v>
      </c>
      <c r="U400">
        <v>21</v>
      </c>
      <c r="W400" t="s">
        <v>658</v>
      </c>
      <c r="X400" t="s">
        <v>657</v>
      </c>
      <c r="Y400" t="s">
        <v>792</v>
      </c>
      <c r="AA400" t="s">
        <v>647</v>
      </c>
      <c r="AB400">
        <v>0</v>
      </c>
      <c r="AK400" t="s">
        <v>642</v>
      </c>
      <c r="AL400" t="s">
        <v>59</v>
      </c>
    </row>
    <row r="401" spans="1:39">
      <c r="A401" s="146">
        <v>46192.548726851855</v>
      </c>
      <c r="B401" s="146">
        <v>46192</v>
      </c>
      <c r="C401">
        <v>2022158</v>
      </c>
      <c r="D401" t="s">
        <v>394</v>
      </c>
      <c r="E401" t="s">
        <v>659</v>
      </c>
      <c r="F401" s="152" t="s">
        <v>654</v>
      </c>
      <c r="G401" t="s">
        <v>250</v>
      </c>
      <c r="H401" t="s">
        <v>641</v>
      </c>
      <c r="I401" t="s">
        <v>99</v>
      </c>
      <c r="J401">
        <v>880</v>
      </c>
      <c r="K401" s="141">
        <v>122.672</v>
      </c>
      <c r="L401">
        <v>0</v>
      </c>
      <c r="N401">
        <v>122.672</v>
      </c>
      <c r="O401" t="s">
        <v>674</v>
      </c>
      <c r="P401">
        <v>0</v>
      </c>
      <c r="Q401" t="s">
        <v>674</v>
      </c>
      <c r="S401">
        <v>0</v>
      </c>
      <c r="T401">
        <v>1.5</v>
      </c>
      <c r="U401">
        <v>10</v>
      </c>
      <c r="V401">
        <v>0.97777777777777775</v>
      </c>
      <c r="W401" t="s">
        <v>800</v>
      </c>
      <c r="X401" t="s">
        <v>801</v>
      </c>
      <c r="Y401" t="s">
        <v>844</v>
      </c>
      <c r="AA401" t="s">
        <v>419</v>
      </c>
      <c r="AB401">
        <v>0</v>
      </c>
      <c r="AG401">
        <v>2</v>
      </c>
      <c r="AH401">
        <v>880</v>
      </c>
      <c r="AK401" t="s">
        <v>642</v>
      </c>
      <c r="AL401" t="s">
        <v>290</v>
      </c>
      <c r="AM401">
        <v>2</v>
      </c>
    </row>
    <row r="402" spans="1:39">
      <c r="A402" s="146">
        <v>46192.550023148149</v>
      </c>
      <c r="B402" s="146">
        <v>46192</v>
      </c>
      <c r="C402">
        <v>2022158</v>
      </c>
      <c r="D402" t="s">
        <v>394</v>
      </c>
      <c r="E402" t="s">
        <v>659</v>
      </c>
      <c r="F402" t="s">
        <v>650</v>
      </c>
      <c r="G402" t="s">
        <v>240</v>
      </c>
      <c r="H402" t="s">
        <v>641</v>
      </c>
      <c r="I402" t="s">
        <v>99</v>
      </c>
      <c r="J402">
        <v>420</v>
      </c>
      <c r="K402" s="141">
        <v>58.548000000000002</v>
      </c>
      <c r="O402" t="s">
        <v>674</v>
      </c>
      <c r="P402">
        <v>0</v>
      </c>
      <c r="Q402" t="s">
        <v>674</v>
      </c>
      <c r="U402">
        <v>10</v>
      </c>
      <c r="W402" t="s">
        <v>800</v>
      </c>
      <c r="X402" t="s">
        <v>801</v>
      </c>
      <c r="Y402" t="s">
        <v>845</v>
      </c>
      <c r="AA402" t="s">
        <v>419</v>
      </c>
      <c r="AB402">
        <v>0</v>
      </c>
      <c r="AK402" t="s">
        <v>642</v>
      </c>
      <c r="AL402" t="s">
        <v>290</v>
      </c>
    </row>
    <row r="403" spans="1:39">
      <c r="A403" s="146">
        <v>46192.554027777776</v>
      </c>
      <c r="B403" s="146">
        <v>46192</v>
      </c>
      <c r="C403">
        <v>1921551</v>
      </c>
      <c r="D403" t="s">
        <v>380</v>
      </c>
      <c r="E403" t="s">
        <v>659</v>
      </c>
      <c r="F403" t="s">
        <v>650</v>
      </c>
      <c r="G403" t="s">
        <v>236</v>
      </c>
      <c r="H403" t="s">
        <v>641</v>
      </c>
      <c r="I403" t="s">
        <v>847</v>
      </c>
      <c r="J403">
        <v>1020</v>
      </c>
      <c r="K403" s="141">
        <v>72.929999999999993</v>
      </c>
      <c r="O403" t="s">
        <v>674</v>
      </c>
      <c r="P403">
        <v>0</v>
      </c>
      <c r="Q403" t="s">
        <v>674</v>
      </c>
      <c r="U403">
        <v>17</v>
      </c>
      <c r="W403" t="s">
        <v>800</v>
      </c>
      <c r="X403" t="s">
        <v>801</v>
      </c>
      <c r="Y403" t="s">
        <v>846</v>
      </c>
      <c r="AA403" t="s">
        <v>419</v>
      </c>
      <c r="AB403">
        <v>0</v>
      </c>
      <c r="AK403" t="s">
        <v>642</v>
      </c>
      <c r="AL403" t="s">
        <v>290</v>
      </c>
    </row>
    <row r="404" spans="1:39">
      <c r="A404" s="146">
        <v>46192.574861111112</v>
      </c>
      <c r="B404" s="146">
        <v>46192</v>
      </c>
      <c r="C404">
        <v>2221908</v>
      </c>
      <c r="D404" t="s">
        <v>398</v>
      </c>
      <c r="E404" t="s">
        <v>659</v>
      </c>
      <c r="F404" t="s">
        <v>650</v>
      </c>
      <c r="G404" t="s">
        <v>227</v>
      </c>
      <c r="H404" t="s">
        <v>641</v>
      </c>
      <c r="I404" t="s">
        <v>90</v>
      </c>
      <c r="J404">
        <v>0</v>
      </c>
      <c r="K404" s="141">
        <v>0</v>
      </c>
      <c r="L404">
        <v>0</v>
      </c>
      <c r="N404">
        <v>0</v>
      </c>
      <c r="O404" t="s">
        <v>674</v>
      </c>
      <c r="P404">
        <v>0</v>
      </c>
      <c r="Q404" t="s">
        <v>674</v>
      </c>
      <c r="S404">
        <v>0.25</v>
      </c>
      <c r="T404">
        <v>0.3</v>
      </c>
      <c r="U404">
        <v>45</v>
      </c>
      <c r="V404">
        <v>0</v>
      </c>
      <c r="W404" t="s">
        <v>800</v>
      </c>
      <c r="X404" t="s">
        <v>801</v>
      </c>
      <c r="Y404" t="s">
        <v>853</v>
      </c>
      <c r="AA404" t="s">
        <v>419</v>
      </c>
      <c r="AB404">
        <v>0</v>
      </c>
      <c r="AK404" t="s">
        <v>642</v>
      </c>
      <c r="AL404" t="s">
        <v>290</v>
      </c>
      <c r="AM404">
        <v>1</v>
      </c>
    </row>
    <row r="405" spans="1:39">
      <c r="A405" s="146">
        <v>46192.574861111112</v>
      </c>
      <c r="B405" s="146">
        <v>46192</v>
      </c>
      <c r="C405">
        <v>2221908</v>
      </c>
      <c r="D405" t="s">
        <v>398</v>
      </c>
      <c r="E405" t="s">
        <v>659</v>
      </c>
      <c r="F405" t="s">
        <v>650</v>
      </c>
      <c r="G405" t="s">
        <v>227</v>
      </c>
      <c r="H405" t="s">
        <v>641</v>
      </c>
      <c r="I405" t="s">
        <v>854</v>
      </c>
      <c r="J405">
        <v>700</v>
      </c>
      <c r="K405" s="141">
        <v>12.53</v>
      </c>
      <c r="O405" t="s">
        <v>674</v>
      </c>
      <c r="P405">
        <v>0</v>
      </c>
      <c r="Q405" t="s">
        <v>674</v>
      </c>
      <c r="U405">
        <v>45</v>
      </c>
      <c r="W405" t="s">
        <v>800</v>
      </c>
      <c r="X405" t="s">
        <v>801</v>
      </c>
      <c r="Y405" t="s">
        <v>853</v>
      </c>
      <c r="AA405" t="s">
        <v>419</v>
      </c>
      <c r="AB405">
        <v>0</v>
      </c>
      <c r="AK405" t="s">
        <v>642</v>
      </c>
      <c r="AL405" t="s">
        <v>290</v>
      </c>
    </row>
    <row r="406" spans="1:39">
      <c r="A406" s="146">
        <v>46192.58556712963</v>
      </c>
      <c r="B406" s="146">
        <v>46192</v>
      </c>
      <c r="C406">
        <v>2228947</v>
      </c>
      <c r="D406" t="s">
        <v>416</v>
      </c>
      <c r="E406" t="s">
        <v>659</v>
      </c>
      <c r="F406" t="s">
        <v>650</v>
      </c>
      <c r="G406" t="s">
        <v>774</v>
      </c>
      <c r="H406" t="s">
        <v>641</v>
      </c>
      <c r="I406" t="s">
        <v>87</v>
      </c>
      <c r="J406">
        <v>0</v>
      </c>
      <c r="K406" s="141">
        <v>0</v>
      </c>
      <c r="L406">
        <v>0</v>
      </c>
      <c r="N406">
        <v>0</v>
      </c>
      <c r="O406" t="s">
        <v>848</v>
      </c>
      <c r="P406">
        <v>0</v>
      </c>
      <c r="Q406" t="s">
        <v>848</v>
      </c>
      <c r="R406" t="s">
        <v>849</v>
      </c>
      <c r="S406">
        <v>1</v>
      </c>
      <c r="T406">
        <v>1</v>
      </c>
      <c r="U406">
        <v>70</v>
      </c>
      <c r="V406">
        <v>0</v>
      </c>
      <c r="W406" t="s">
        <v>800</v>
      </c>
      <c r="X406" t="s">
        <v>801</v>
      </c>
      <c r="Y406" t="s">
        <v>855</v>
      </c>
      <c r="AA406" t="s">
        <v>647</v>
      </c>
      <c r="AB406">
        <v>0</v>
      </c>
      <c r="AK406" t="s">
        <v>642</v>
      </c>
      <c r="AL406" t="s">
        <v>290</v>
      </c>
      <c r="AM406">
        <v>1</v>
      </c>
    </row>
    <row r="407" spans="1:39">
      <c r="A407" s="146">
        <v>46192.58556712963</v>
      </c>
      <c r="B407" s="146">
        <v>46192</v>
      </c>
      <c r="C407">
        <v>2228947</v>
      </c>
      <c r="D407" t="s">
        <v>416</v>
      </c>
      <c r="E407" t="s">
        <v>659</v>
      </c>
      <c r="F407" t="s">
        <v>650</v>
      </c>
      <c r="G407" t="s">
        <v>774</v>
      </c>
      <c r="H407" t="s">
        <v>641</v>
      </c>
      <c r="I407" t="s">
        <v>858</v>
      </c>
      <c r="J407">
        <v>3210</v>
      </c>
      <c r="K407" s="141">
        <v>27.927</v>
      </c>
      <c r="O407" t="s">
        <v>848</v>
      </c>
      <c r="P407">
        <v>0</v>
      </c>
      <c r="Q407" t="s">
        <v>848</v>
      </c>
      <c r="R407" t="s">
        <v>849</v>
      </c>
      <c r="U407">
        <v>70</v>
      </c>
      <c r="W407" t="s">
        <v>800</v>
      </c>
      <c r="X407" t="s">
        <v>801</v>
      </c>
      <c r="Y407" t="s">
        <v>855</v>
      </c>
      <c r="AA407" t="s">
        <v>647</v>
      </c>
      <c r="AB407">
        <v>0</v>
      </c>
      <c r="AK407" t="s">
        <v>642</v>
      </c>
      <c r="AL407" t="s">
        <v>290</v>
      </c>
    </row>
    <row r="408" spans="1:39">
      <c r="A408" s="146">
        <v>46192.586157407408</v>
      </c>
      <c r="B408" s="146">
        <v>46192</v>
      </c>
      <c r="C408">
        <v>2228947</v>
      </c>
      <c r="D408" t="s">
        <v>416</v>
      </c>
      <c r="E408" t="s">
        <v>659</v>
      </c>
      <c r="F408" t="s">
        <v>650</v>
      </c>
      <c r="G408" t="s">
        <v>856</v>
      </c>
      <c r="H408" t="s">
        <v>641</v>
      </c>
      <c r="I408" t="s">
        <v>87</v>
      </c>
      <c r="J408">
        <v>0</v>
      </c>
      <c r="K408" s="141">
        <v>0</v>
      </c>
      <c r="L408">
        <v>0</v>
      </c>
      <c r="N408">
        <v>0</v>
      </c>
      <c r="O408" t="s">
        <v>848</v>
      </c>
      <c r="P408">
        <v>0</v>
      </c>
      <c r="Q408" t="s">
        <v>848</v>
      </c>
      <c r="S408">
        <v>0.5</v>
      </c>
      <c r="T408">
        <v>0.5</v>
      </c>
      <c r="U408">
        <v>70</v>
      </c>
      <c r="V408">
        <v>0</v>
      </c>
      <c r="W408" t="s">
        <v>800</v>
      </c>
      <c r="X408" t="s">
        <v>801</v>
      </c>
      <c r="Y408" t="s">
        <v>857</v>
      </c>
      <c r="AA408" t="s">
        <v>647</v>
      </c>
      <c r="AB408">
        <v>0</v>
      </c>
      <c r="AK408" t="s">
        <v>642</v>
      </c>
      <c r="AL408" t="s">
        <v>59</v>
      </c>
      <c r="AM408">
        <v>1</v>
      </c>
    </row>
    <row r="409" spans="1:39">
      <c r="A409" s="146">
        <v>46192.586157407408</v>
      </c>
      <c r="B409" s="146">
        <v>46192</v>
      </c>
      <c r="C409">
        <v>2228947</v>
      </c>
      <c r="D409" t="s">
        <v>416</v>
      </c>
      <c r="E409" t="s">
        <v>659</v>
      </c>
      <c r="F409" t="s">
        <v>650</v>
      </c>
      <c r="G409" t="s">
        <v>856</v>
      </c>
      <c r="H409" t="s">
        <v>641</v>
      </c>
      <c r="I409" t="s">
        <v>859</v>
      </c>
      <c r="J409">
        <v>1200</v>
      </c>
      <c r="K409" s="141">
        <v>10.44</v>
      </c>
      <c r="O409" t="s">
        <v>848</v>
      </c>
      <c r="P409">
        <v>0</v>
      </c>
      <c r="Q409" t="s">
        <v>848</v>
      </c>
      <c r="U409">
        <v>70</v>
      </c>
      <c r="W409" t="s">
        <v>800</v>
      </c>
      <c r="X409" t="s">
        <v>801</v>
      </c>
      <c r="Y409" t="s">
        <v>857</v>
      </c>
      <c r="AA409" t="s">
        <v>647</v>
      </c>
      <c r="AB409">
        <v>0</v>
      </c>
      <c r="AK409" t="s">
        <v>642</v>
      </c>
      <c r="AL409" t="s">
        <v>59</v>
      </c>
    </row>
    <row r="410" spans="1:39">
      <c r="A410" s="146">
        <v>46192.86383101852</v>
      </c>
      <c r="B410" s="146">
        <v>46192</v>
      </c>
      <c r="C410">
        <v>2222785</v>
      </c>
      <c r="D410" t="s">
        <v>399</v>
      </c>
      <c r="E410" t="s">
        <v>643</v>
      </c>
      <c r="F410" t="s">
        <v>650</v>
      </c>
      <c r="G410" t="s">
        <v>223</v>
      </c>
      <c r="H410" t="s">
        <v>641</v>
      </c>
      <c r="I410" t="s">
        <v>861</v>
      </c>
      <c r="J410">
        <v>1860</v>
      </c>
      <c r="K410" s="141">
        <v>64.914000000000001</v>
      </c>
      <c r="O410" t="s">
        <v>848</v>
      </c>
      <c r="P410">
        <v>0</v>
      </c>
      <c r="Q410" t="s">
        <v>848</v>
      </c>
      <c r="U410">
        <v>30</v>
      </c>
      <c r="W410" t="s">
        <v>800</v>
      </c>
      <c r="X410" t="s">
        <v>801</v>
      </c>
      <c r="Y410" t="s">
        <v>860</v>
      </c>
      <c r="AA410" t="s">
        <v>647</v>
      </c>
      <c r="AB410">
        <v>0</v>
      </c>
      <c r="AK410" t="s">
        <v>642</v>
      </c>
      <c r="AL410" t="s">
        <v>290</v>
      </c>
    </row>
    <row r="411" spans="1:39">
      <c r="A411" s="146">
        <v>46192.865752314814</v>
      </c>
      <c r="B411" s="146">
        <v>46192</v>
      </c>
      <c r="C411">
        <v>2222785</v>
      </c>
      <c r="D411" t="s">
        <v>399</v>
      </c>
      <c r="E411" t="s">
        <v>643</v>
      </c>
      <c r="F411" t="s">
        <v>650</v>
      </c>
      <c r="G411" t="s">
        <v>240</v>
      </c>
      <c r="H411" t="s">
        <v>641</v>
      </c>
      <c r="I411" t="s">
        <v>863</v>
      </c>
      <c r="J411">
        <v>880</v>
      </c>
      <c r="K411" s="141">
        <v>122.672</v>
      </c>
      <c r="L411">
        <v>0</v>
      </c>
      <c r="N411">
        <v>122.672</v>
      </c>
      <c r="O411" t="s">
        <v>848</v>
      </c>
      <c r="P411">
        <v>0</v>
      </c>
      <c r="Q411" t="s">
        <v>848</v>
      </c>
      <c r="S411">
        <v>0</v>
      </c>
      <c r="T411">
        <v>1.5</v>
      </c>
      <c r="U411">
        <v>10</v>
      </c>
      <c r="V411">
        <v>0.97777777777777775</v>
      </c>
      <c r="W411" t="s">
        <v>800</v>
      </c>
      <c r="X411" t="s">
        <v>801</v>
      </c>
      <c r="Y411" t="s">
        <v>862</v>
      </c>
      <c r="AA411" t="s">
        <v>647</v>
      </c>
      <c r="AB411">
        <v>0</v>
      </c>
      <c r="AG411">
        <v>2</v>
      </c>
      <c r="AH411">
        <v>880</v>
      </c>
      <c r="AK411" t="s">
        <v>642</v>
      </c>
      <c r="AL411" t="s">
        <v>290</v>
      </c>
      <c r="AM411">
        <v>2</v>
      </c>
    </row>
    <row r="412" spans="1:39">
      <c r="A412" s="146">
        <v>46192.515486111108</v>
      </c>
      <c r="B412" s="146">
        <v>46192.515486111108</v>
      </c>
      <c r="C412">
        <v>2243991</v>
      </c>
      <c r="D412" t="s">
        <v>410</v>
      </c>
      <c r="E412" t="s">
        <v>643</v>
      </c>
      <c r="F412" t="s">
        <v>650</v>
      </c>
      <c r="G412" t="s">
        <v>228</v>
      </c>
      <c r="H412" t="s">
        <v>641</v>
      </c>
      <c r="I412" t="s">
        <v>864</v>
      </c>
      <c r="J412">
        <v>1230</v>
      </c>
      <c r="K412" s="141">
        <v>95</v>
      </c>
      <c r="O412" t="s">
        <v>665</v>
      </c>
      <c r="P412">
        <v>1</v>
      </c>
      <c r="Q412" t="s">
        <v>665</v>
      </c>
      <c r="U412">
        <v>21</v>
      </c>
      <c r="W412" t="s">
        <v>658</v>
      </c>
      <c r="X412" t="s">
        <v>657</v>
      </c>
      <c r="Y412" t="s">
        <v>792</v>
      </c>
      <c r="AA412" t="s">
        <v>647</v>
      </c>
      <c r="AB412">
        <v>0</v>
      </c>
      <c r="AK412" t="s">
        <v>642</v>
      </c>
      <c r="AL412" t="s">
        <v>59</v>
      </c>
    </row>
    <row r="413" spans="1:39">
      <c r="A413" s="146">
        <v>46192.877962962964</v>
      </c>
      <c r="B413" s="146">
        <v>46192</v>
      </c>
      <c r="C413">
        <v>2021742</v>
      </c>
      <c r="D413" t="s">
        <v>391</v>
      </c>
      <c r="E413" t="s">
        <v>643</v>
      </c>
      <c r="F413" t="s">
        <v>650</v>
      </c>
      <c r="G413" t="s">
        <v>226</v>
      </c>
      <c r="H413" t="s">
        <v>641</v>
      </c>
      <c r="I413" t="s">
        <v>868</v>
      </c>
      <c r="J413">
        <v>3210</v>
      </c>
      <c r="K413" s="141">
        <v>27.927</v>
      </c>
      <c r="O413" t="s">
        <v>848</v>
      </c>
      <c r="P413">
        <v>0</v>
      </c>
      <c r="Q413" t="s">
        <v>848</v>
      </c>
      <c r="U413">
        <v>60</v>
      </c>
      <c r="W413" t="s">
        <v>800</v>
      </c>
      <c r="X413" t="s">
        <v>801</v>
      </c>
      <c r="Y413" t="s">
        <v>865</v>
      </c>
      <c r="AA413" t="s">
        <v>647</v>
      </c>
      <c r="AB413">
        <v>0</v>
      </c>
      <c r="AK413" t="s">
        <v>642</v>
      </c>
      <c r="AL413" t="s">
        <v>59</v>
      </c>
    </row>
    <row r="414" spans="1:39">
      <c r="A414" s="146">
        <v>46192.878576388888</v>
      </c>
      <c r="B414" s="146">
        <v>46192</v>
      </c>
      <c r="C414">
        <v>2021742</v>
      </c>
      <c r="D414" t="s">
        <v>391</v>
      </c>
      <c r="E414" t="s">
        <v>643</v>
      </c>
      <c r="F414" t="s">
        <v>650</v>
      </c>
      <c r="G414" t="s">
        <v>216</v>
      </c>
      <c r="H414" t="s">
        <v>641</v>
      </c>
      <c r="I414" t="s">
        <v>869</v>
      </c>
      <c r="J414">
        <v>1230</v>
      </c>
      <c r="K414" s="141">
        <v>63.468000000000004</v>
      </c>
      <c r="O414" t="s">
        <v>866</v>
      </c>
      <c r="P414">
        <v>0</v>
      </c>
      <c r="Q414" t="s">
        <v>866</v>
      </c>
      <c r="U414">
        <v>27</v>
      </c>
      <c r="W414" t="s">
        <v>800</v>
      </c>
      <c r="X414" t="s">
        <v>801</v>
      </c>
      <c r="Y414" t="s">
        <v>867</v>
      </c>
      <c r="AA414" t="s">
        <v>419</v>
      </c>
      <c r="AB414">
        <v>0</v>
      </c>
      <c r="AK414" t="s">
        <v>642</v>
      </c>
      <c r="AL414" t="s">
        <v>290</v>
      </c>
    </row>
    <row r="415" spans="1:39">
      <c r="A415" s="146">
        <v>46192.882997685185</v>
      </c>
      <c r="B415" s="146">
        <v>46192</v>
      </c>
      <c r="C415">
        <v>2224358</v>
      </c>
      <c r="D415" t="s">
        <v>417</v>
      </c>
      <c r="E415" t="s">
        <v>643</v>
      </c>
      <c r="F415" t="s">
        <v>650</v>
      </c>
      <c r="G415" t="s">
        <v>226</v>
      </c>
      <c r="H415" t="s">
        <v>641</v>
      </c>
      <c r="I415" t="s">
        <v>871</v>
      </c>
      <c r="J415">
        <v>2640</v>
      </c>
      <c r="K415" s="141">
        <v>22.968</v>
      </c>
      <c r="O415" t="s">
        <v>678</v>
      </c>
      <c r="P415">
        <v>0</v>
      </c>
      <c r="Q415" t="s">
        <v>678</v>
      </c>
      <c r="R415" t="s">
        <v>849</v>
      </c>
      <c r="U415">
        <v>70</v>
      </c>
      <c r="W415" t="s">
        <v>800</v>
      </c>
      <c r="X415" t="s">
        <v>801</v>
      </c>
      <c r="Y415" t="s">
        <v>870</v>
      </c>
      <c r="AA415" t="s">
        <v>647</v>
      </c>
      <c r="AB415">
        <v>0</v>
      </c>
      <c r="AK415" t="s">
        <v>642</v>
      </c>
      <c r="AL415" t="s">
        <v>59</v>
      </c>
    </row>
    <row r="416" spans="1:39">
      <c r="A416" s="146">
        <v>46192.889108796298</v>
      </c>
      <c r="B416" s="146">
        <v>46192</v>
      </c>
      <c r="C416">
        <v>2220255</v>
      </c>
      <c r="D416" t="s">
        <v>396</v>
      </c>
      <c r="E416" t="s">
        <v>643</v>
      </c>
      <c r="F416" t="s">
        <v>650</v>
      </c>
      <c r="G416" t="s">
        <v>872</v>
      </c>
      <c r="H416" t="s">
        <v>641</v>
      </c>
      <c r="I416" t="s">
        <v>93</v>
      </c>
      <c r="K416" s="141" t="e">
        <v>#N/A</v>
      </c>
      <c r="O416" t="s">
        <v>678</v>
      </c>
      <c r="P416">
        <v>0</v>
      </c>
      <c r="Q416" t="s">
        <v>678</v>
      </c>
      <c r="U416">
        <v>27</v>
      </c>
      <c r="W416" t="s">
        <v>800</v>
      </c>
      <c r="X416" t="s">
        <v>801</v>
      </c>
      <c r="Y416" t="s">
        <v>873</v>
      </c>
      <c r="AA416" t="s">
        <v>647</v>
      </c>
      <c r="AB416">
        <v>0</v>
      </c>
      <c r="AK416" t="s">
        <v>642</v>
      </c>
      <c r="AL416" t="s">
        <v>670</v>
      </c>
    </row>
    <row r="417" spans="1:39">
      <c r="A417" s="146">
        <v>46192.890289351853</v>
      </c>
      <c r="B417" s="146">
        <v>46192</v>
      </c>
      <c r="C417">
        <v>2220255</v>
      </c>
      <c r="D417" t="s">
        <v>396</v>
      </c>
      <c r="E417" t="s">
        <v>643</v>
      </c>
      <c r="F417" t="s">
        <v>650</v>
      </c>
      <c r="G417" t="s">
        <v>216</v>
      </c>
      <c r="H417" t="s">
        <v>641</v>
      </c>
      <c r="I417" t="s">
        <v>93</v>
      </c>
      <c r="J417">
        <v>1230</v>
      </c>
      <c r="K417" s="141">
        <v>63.468000000000004</v>
      </c>
      <c r="O417" t="s">
        <v>678</v>
      </c>
      <c r="P417">
        <v>0</v>
      </c>
      <c r="Q417" t="s">
        <v>678</v>
      </c>
      <c r="U417">
        <v>27</v>
      </c>
      <c r="W417" t="s">
        <v>800</v>
      </c>
      <c r="X417" t="s">
        <v>801</v>
      </c>
      <c r="Y417" t="s">
        <v>874</v>
      </c>
      <c r="AA417" t="s">
        <v>647</v>
      </c>
      <c r="AB417">
        <v>0</v>
      </c>
      <c r="AK417" t="s">
        <v>642</v>
      </c>
      <c r="AL417" t="s">
        <v>290</v>
      </c>
    </row>
    <row r="418" spans="1:39">
      <c r="A418" s="146">
        <v>46192.891168981485</v>
      </c>
      <c r="B418" s="146">
        <v>46192</v>
      </c>
      <c r="C418">
        <v>2220255</v>
      </c>
      <c r="D418" t="s">
        <v>396</v>
      </c>
      <c r="E418" t="s">
        <v>643</v>
      </c>
      <c r="F418" t="s">
        <v>650</v>
      </c>
      <c r="G418" t="s">
        <v>227</v>
      </c>
      <c r="H418" t="s">
        <v>641</v>
      </c>
      <c r="I418" t="s">
        <v>90</v>
      </c>
      <c r="J418">
        <v>1000</v>
      </c>
      <c r="K418" s="141">
        <v>17.899999999999999</v>
      </c>
      <c r="O418" t="s">
        <v>678</v>
      </c>
      <c r="P418">
        <v>0</v>
      </c>
      <c r="Q418" t="s">
        <v>678</v>
      </c>
      <c r="U418">
        <v>45</v>
      </c>
      <c r="W418" t="s">
        <v>800</v>
      </c>
      <c r="X418" t="s">
        <v>801</v>
      </c>
      <c r="Y418" t="s">
        <v>875</v>
      </c>
      <c r="AA418" t="s">
        <v>647</v>
      </c>
      <c r="AB418">
        <v>0</v>
      </c>
      <c r="AK418" t="s">
        <v>642</v>
      </c>
      <c r="AL418" t="s">
        <v>290</v>
      </c>
    </row>
    <row r="419" spans="1:39">
      <c r="A419" s="146">
        <v>46192.892187500001</v>
      </c>
      <c r="B419" s="146">
        <v>46192</v>
      </c>
      <c r="C419">
        <v>2220255</v>
      </c>
      <c r="D419" t="s">
        <v>396</v>
      </c>
      <c r="E419" t="s">
        <v>643</v>
      </c>
      <c r="F419" t="s">
        <v>650</v>
      </c>
      <c r="G419" t="s">
        <v>227</v>
      </c>
      <c r="H419" t="s">
        <v>641</v>
      </c>
      <c r="I419" t="s">
        <v>90</v>
      </c>
      <c r="J419">
        <v>1510</v>
      </c>
      <c r="K419" s="141">
        <v>27.029</v>
      </c>
      <c r="O419" t="s">
        <v>678</v>
      </c>
      <c r="P419">
        <v>0</v>
      </c>
      <c r="Q419" t="s">
        <v>678</v>
      </c>
      <c r="U419">
        <v>45</v>
      </c>
      <c r="W419" t="s">
        <v>800</v>
      </c>
      <c r="X419" t="s">
        <v>801</v>
      </c>
      <c r="Y419" t="s">
        <v>876</v>
      </c>
      <c r="AA419" t="s">
        <v>647</v>
      </c>
      <c r="AB419">
        <v>0</v>
      </c>
      <c r="AK419" t="s">
        <v>642</v>
      </c>
      <c r="AL419" t="s">
        <v>290</v>
      </c>
    </row>
    <row r="420" spans="1:39">
      <c r="A420" s="146">
        <v>46192.89271990741</v>
      </c>
      <c r="B420" s="146">
        <v>46192</v>
      </c>
      <c r="C420">
        <v>2020488</v>
      </c>
      <c r="D420" t="s">
        <v>383</v>
      </c>
      <c r="E420" t="s">
        <v>643</v>
      </c>
      <c r="F420" t="s">
        <v>650</v>
      </c>
      <c r="G420" t="s">
        <v>236</v>
      </c>
      <c r="H420" t="s">
        <v>641</v>
      </c>
      <c r="I420" t="s">
        <v>97</v>
      </c>
      <c r="J420">
        <v>1020</v>
      </c>
      <c r="K420" s="141">
        <v>72.929999999999993</v>
      </c>
      <c r="O420" t="s">
        <v>678</v>
      </c>
      <c r="P420">
        <v>0</v>
      </c>
      <c r="Q420" t="s">
        <v>678</v>
      </c>
      <c r="U420">
        <v>17</v>
      </c>
      <c r="W420" t="s">
        <v>800</v>
      </c>
      <c r="X420" t="s">
        <v>801</v>
      </c>
      <c r="Y420" t="s">
        <v>877</v>
      </c>
      <c r="AA420" t="s">
        <v>647</v>
      </c>
      <c r="AB420">
        <v>0</v>
      </c>
      <c r="AK420" t="s">
        <v>642</v>
      </c>
      <c r="AL420" t="s">
        <v>290</v>
      </c>
    </row>
    <row r="421" spans="1:39">
      <c r="A421" s="146">
        <v>46193.194988425923</v>
      </c>
      <c r="B421" s="146">
        <v>46192</v>
      </c>
      <c r="C421">
        <v>2224288</v>
      </c>
      <c r="D421" t="s">
        <v>401</v>
      </c>
      <c r="E421" t="s">
        <v>653</v>
      </c>
      <c r="F421" t="s">
        <v>650</v>
      </c>
      <c r="G421" t="s">
        <v>222</v>
      </c>
      <c r="H421" t="s">
        <v>641</v>
      </c>
      <c r="I421" t="s">
        <v>98</v>
      </c>
      <c r="J421">
        <v>2210</v>
      </c>
      <c r="K421" s="141">
        <v>39.558999999999997</v>
      </c>
      <c r="O421" t="s">
        <v>678</v>
      </c>
      <c r="P421">
        <v>0</v>
      </c>
      <c r="Q421" t="s">
        <v>678</v>
      </c>
      <c r="U421">
        <v>50</v>
      </c>
      <c r="W421" t="s">
        <v>800</v>
      </c>
      <c r="X421" t="s">
        <v>801</v>
      </c>
      <c r="Y421" t="s">
        <v>878</v>
      </c>
      <c r="AA421" t="s">
        <v>647</v>
      </c>
      <c r="AB421">
        <v>0</v>
      </c>
      <c r="AK421" t="s">
        <v>642</v>
      </c>
      <c r="AL421" t="s">
        <v>290</v>
      </c>
    </row>
    <row r="422" spans="1:39">
      <c r="A422" s="146">
        <v>46193.204953703702</v>
      </c>
      <c r="B422" s="146">
        <v>46192</v>
      </c>
      <c r="C422">
        <v>2222332</v>
      </c>
      <c r="D422" t="s">
        <v>406</v>
      </c>
      <c r="E422" t="s">
        <v>653</v>
      </c>
      <c r="F422" t="s">
        <v>650</v>
      </c>
      <c r="G422" t="s">
        <v>224</v>
      </c>
      <c r="H422" t="s">
        <v>641</v>
      </c>
      <c r="I422" t="s">
        <v>81</v>
      </c>
      <c r="J422">
        <v>1510</v>
      </c>
      <c r="K422" s="141">
        <v>27.029</v>
      </c>
      <c r="O422" t="s">
        <v>678</v>
      </c>
      <c r="P422">
        <v>0</v>
      </c>
      <c r="Q422" t="s">
        <v>678</v>
      </c>
      <c r="U422">
        <v>45</v>
      </c>
      <c r="W422" t="s">
        <v>800</v>
      </c>
      <c r="X422" t="s">
        <v>801</v>
      </c>
      <c r="Y422" t="s">
        <v>879</v>
      </c>
      <c r="AA422" t="s">
        <v>647</v>
      </c>
      <c r="AB422">
        <v>0</v>
      </c>
      <c r="AK422" t="s">
        <v>642</v>
      </c>
      <c r="AL422" t="s">
        <v>59</v>
      </c>
    </row>
    <row r="423" spans="1:39">
      <c r="A423" s="146">
        <v>46193.20584490741</v>
      </c>
      <c r="B423" s="146">
        <v>46192</v>
      </c>
      <c r="C423">
        <v>2222332</v>
      </c>
      <c r="D423" t="s">
        <v>406</v>
      </c>
      <c r="E423" t="s">
        <v>653</v>
      </c>
      <c r="F423" t="s">
        <v>650</v>
      </c>
      <c r="G423" t="s">
        <v>422</v>
      </c>
      <c r="H423" t="s">
        <v>641</v>
      </c>
      <c r="I423" t="s">
        <v>101</v>
      </c>
      <c r="J423">
        <v>1020</v>
      </c>
      <c r="K423" s="141">
        <v>72.929999999999993</v>
      </c>
      <c r="O423" t="s">
        <v>678</v>
      </c>
      <c r="P423">
        <v>0</v>
      </c>
      <c r="Q423" t="s">
        <v>678</v>
      </c>
      <c r="U423">
        <v>17</v>
      </c>
      <c r="W423" t="s">
        <v>800</v>
      </c>
      <c r="X423" t="s">
        <v>801</v>
      </c>
      <c r="Y423" t="s">
        <v>880</v>
      </c>
      <c r="AA423" t="s">
        <v>647</v>
      </c>
      <c r="AB423">
        <v>0</v>
      </c>
      <c r="AK423" t="s">
        <v>642</v>
      </c>
      <c r="AL423" t="s">
        <v>59</v>
      </c>
    </row>
    <row r="424" spans="1:39">
      <c r="A424" s="146">
        <v>46193.21234953704</v>
      </c>
      <c r="B424" s="146">
        <v>46192</v>
      </c>
      <c r="C424">
        <v>2020390</v>
      </c>
      <c r="D424" t="s">
        <v>382</v>
      </c>
      <c r="E424" t="s">
        <v>653</v>
      </c>
      <c r="F424" t="s">
        <v>650</v>
      </c>
      <c r="G424" t="s">
        <v>240</v>
      </c>
      <c r="H424" t="s">
        <v>641</v>
      </c>
      <c r="I424" t="s">
        <v>99</v>
      </c>
      <c r="J424">
        <v>420</v>
      </c>
      <c r="K424" s="141">
        <v>58.548000000000002</v>
      </c>
      <c r="O424" t="s">
        <v>881</v>
      </c>
      <c r="P424">
        <v>0</v>
      </c>
      <c r="Q424" t="s">
        <v>881</v>
      </c>
      <c r="R424" t="s">
        <v>852</v>
      </c>
      <c r="U424">
        <v>10</v>
      </c>
      <c r="W424" t="s">
        <v>800</v>
      </c>
      <c r="X424" t="s">
        <v>801</v>
      </c>
      <c r="Y424" t="s">
        <v>882</v>
      </c>
      <c r="AA424" t="s">
        <v>647</v>
      </c>
      <c r="AB424">
        <v>0</v>
      </c>
      <c r="AK424" t="s">
        <v>642</v>
      </c>
      <c r="AL424" t="s">
        <v>290</v>
      </c>
    </row>
    <row r="425" spans="1:39">
      <c r="A425" s="146">
        <v>46193.21234953704</v>
      </c>
      <c r="B425" s="146">
        <v>46192</v>
      </c>
      <c r="C425">
        <v>2226596</v>
      </c>
      <c r="D425" t="s">
        <v>656</v>
      </c>
      <c r="E425" t="s">
        <v>653</v>
      </c>
      <c r="F425" t="s">
        <v>650</v>
      </c>
      <c r="G425" t="s">
        <v>228</v>
      </c>
      <c r="H425" t="s">
        <v>641</v>
      </c>
      <c r="I425" t="s">
        <v>88</v>
      </c>
      <c r="J425">
        <v>615</v>
      </c>
      <c r="K425" s="141">
        <v>31.25</v>
      </c>
      <c r="O425" t="s">
        <v>665</v>
      </c>
      <c r="P425">
        <v>1</v>
      </c>
      <c r="Q425" t="s">
        <v>665</v>
      </c>
      <c r="R425" t="s">
        <v>851</v>
      </c>
      <c r="U425">
        <v>21</v>
      </c>
      <c r="W425" t="s">
        <v>800</v>
      </c>
      <c r="X425" t="s">
        <v>801</v>
      </c>
      <c r="Y425" t="s">
        <v>882</v>
      </c>
      <c r="AA425" t="s">
        <v>647</v>
      </c>
      <c r="AB425">
        <v>0</v>
      </c>
      <c r="AK425" t="s">
        <v>642</v>
      </c>
      <c r="AL425" t="s">
        <v>290</v>
      </c>
    </row>
    <row r="426" spans="1:39">
      <c r="A426" s="146">
        <v>46193.21234953704</v>
      </c>
      <c r="B426" s="146">
        <v>46192</v>
      </c>
      <c r="C426">
        <v>2226596</v>
      </c>
      <c r="D426" t="s">
        <v>656</v>
      </c>
      <c r="E426" t="s">
        <v>653</v>
      </c>
      <c r="F426" t="s">
        <v>650</v>
      </c>
      <c r="G426" t="s">
        <v>222</v>
      </c>
      <c r="H426" t="s">
        <v>641</v>
      </c>
      <c r="I426" t="s">
        <v>96</v>
      </c>
      <c r="J426">
        <v>4790</v>
      </c>
      <c r="K426" s="141">
        <v>78.23</v>
      </c>
      <c r="O426" t="s">
        <v>678</v>
      </c>
      <c r="P426">
        <v>0</v>
      </c>
      <c r="Q426" t="s">
        <v>678</v>
      </c>
      <c r="R426" t="s">
        <v>850</v>
      </c>
      <c r="U426">
        <v>50</v>
      </c>
      <c r="W426" t="s">
        <v>883</v>
      </c>
      <c r="X426" t="s">
        <v>884</v>
      </c>
      <c r="Y426" t="s">
        <v>882</v>
      </c>
      <c r="AA426" t="s">
        <v>647</v>
      </c>
      <c r="AB426">
        <v>0</v>
      </c>
      <c r="AK426" t="s">
        <v>642</v>
      </c>
      <c r="AL426" t="s">
        <v>290</v>
      </c>
    </row>
    <row r="427" spans="1:39">
      <c r="A427" s="146">
        <v>46193.228113425925</v>
      </c>
      <c r="B427" s="146">
        <v>46192</v>
      </c>
      <c r="C427">
        <v>2241656</v>
      </c>
      <c r="D427" t="s">
        <v>409</v>
      </c>
      <c r="E427" t="s">
        <v>653</v>
      </c>
      <c r="F427" t="s">
        <v>650</v>
      </c>
      <c r="G427" t="s">
        <v>227</v>
      </c>
      <c r="H427" t="s">
        <v>641</v>
      </c>
      <c r="I427" t="s">
        <v>886</v>
      </c>
      <c r="J427">
        <v>1510</v>
      </c>
      <c r="K427" s="141">
        <v>27.029</v>
      </c>
      <c r="O427" t="s">
        <v>677</v>
      </c>
      <c r="P427">
        <v>0</v>
      </c>
      <c r="Q427" t="s">
        <v>677</v>
      </c>
      <c r="U427">
        <v>45</v>
      </c>
      <c r="W427" t="s">
        <v>800</v>
      </c>
      <c r="X427" t="s">
        <v>801</v>
      </c>
      <c r="Y427" t="s">
        <v>885</v>
      </c>
      <c r="AA427" t="s">
        <v>419</v>
      </c>
      <c r="AB427">
        <v>0</v>
      </c>
      <c r="AK427" t="s">
        <v>642</v>
      </c>
      <c r="AL427" t="s">
        <v>290</v>
      </c>
    </row>
    <row r="428" spans="1:39">
      <c r="A428" s="146">
        <v>46193.228113425925</v>
      </c>
      <c r="B428" s="146">
        <v>46192</v>
      </c>
      <c r="C428">
        <v>2241656</v>
      </c>
      <c r="D428" t="s">
        <v>409</v>
      </c>
      <c r="E428" t="s">
        <v>653</v>
      </c>
      <c r="F428" t="s">
        <v>650</v>
      </c>
      <c r="G428" t="s">
        <v>227</v>
      </c>
      <c r="H428" t="s">
        <v>641</v>
      </c>
      <c r="I428" t="s">
        <v>887</v>
      </c>
      <c r="J428">
        <v>1510</v>
      </c>
      <c r="K428" s="141">
        <v>27.029</v>
      </c>
      <c r="O428" t="s">
        <v>677</v>
      </c>
      <c r="P428">
        <v>0</v>
      </c>
      <c r="Q428" t="s">
        <v>677</v>
      </c>
      <c r="U428">
        <v>45</v>
      </c>
      <c r="W428" t="s">
        <v>800</v>
      </c>
      <c r="X428" t="s">
        <v>801</v>
      </c>
      <c r="Y428" t="s">
        <v>885</v>
      </c>
      <c r="AA428" t="s">
        <v>419</v>
      </c>
      <c r="AB428">
        <v>0</v>
      </c>
      <c r="AK428" t="s">
        <v>642</v>
      </c>
      <c r="AL428" t="s">
        <v>290</v>
      </c>
    </row>
    <row r="429" spans="1:39">
      <c r="A429" s="146">
        <v>46193.228113425925</v>
      </c>
      <c r="B429" s="146">
        <v>46192</v>
      </c>
      <c r="C429">
        <v>2241656</v>
      </c>
      <c r="D429" t="s">
        <v>409</v>
      </c>
      <c r="E429" t="s">
        <v>653</v>
      </c>
      <c r="F429" t="s">
        <v>650</v>
      </c>
      <c r="G429" t="s">
        <v>227</v>
      </c>
      <c r="H429" t="s">
        <v>641</v>
      </c>
      <c r="I429" t="s">
        <v>888</v>
      </c>
      <c r="J429">
        <v>1510</v>
      </c>
      <c r="K429" s="141">
        <v>27.029</v>
      </c>
      <c r="O429" t="s">
        <v>677</v>
      </c>
      <c r="P429">
        <v>0</v>
      </c>
      <c r="Q429" t="s">
        <v>677</v>
      </c>
      <c r="U429">
        <v>45</v>
      </c>
      <c r="W429" t="s">
        <v>800</v>
      </c>
      <c r="X429" t="s">
        <v>801</v>
      </c>
      <c r="Y429" t="s">
        <v>885</v>
      </c>
      <c r="AA429" t="s">
        <v>419</v>
      </c>
      <c r="AB429">
        <v>0</v>
      </c>
      <c r="AK429" t="s">
        <v>642</v>
      </c>
      <c r="AL429" t="s">
        <v>290</v>
      </c>
    </row>
    <row r="430" spans="1:39">
      <c r="A430" s="146">
        <v>46193.228113425925</v>
      </c>
      <c r="B430" s="146">
        <v>46192</v>
      </c>
      <c r="C430">
        <v>2241656</v>
      </c>
      <c r="D430" t="s">
        <v>409</v>
      </c>
      <c r="E430" t="s">
        <v>653</v>
      </c>
      <c r="F430" t="s">
        <v>650</v>
      </c>
      <c r="G430" t="s">
        <v>231</v>
      </c>
      <c r="H430" t="s">
        <v>641</v>
      </c>
      <c r="I430" t="s">
        <v>889</v>
      </c>
      <c r="J430">
        <v>2000</v>
      </c>
      <c r="K430" s="141">
        <v>27.029</v>
      </c>
      <c r="O430" t="s">
        <v>677</v>
      </c>
      <c r="P430">
        <v>0</v>
      </c>
      <c r="Q430" t="s">
        <v>677</v>
      </c>
      <c r="U430">
        <v>45</v>
      </c>
      <c r="W430" t="s">
        <v>800</v>
      </c>
      <c r="X430" t="s">
        <v>801</v>
      </c>
      <c r="Y430" t="s">
        <v>885</v>
      </c>
      <c r="AA430" t="s">
        <v>419</v>
      </c>
      <c r="AB430">
        <v>0</v>
      </c>
      <c r="AK430" t="s">
        <v>642</v>
      </c>
      <c r="AL430" t="s">
        <v>290</v>
      </c>
    </row>
    <row r="431" spans="1:39">
      <c r="A431" s="146">
        <v>46193.228113425925</v>
      </c>
      <c r="B431" s="146">
        <v>46192</v>
      </c>
      <c r="C431">
        <v>2241656</v>
      </c>
      <c r="D431" t="s">
        <v>409</v>
      </c>
      <c r="E431" t="s">
        <v>653</v>
      </c>
      <c r="F431" t="s">
        <v>650</v>
      </c>
      <c r="G431" t="s">
        <v>223</v>
      </c>
      <c r="H431" t="s">
        <v>641</v>
      </c>
      <c r="I431" t="s">
        <v>890</v>
      </c>
      <c r="J431">
        <v>2330</v>
      </c>
      <c r="K431" s="141">
        <v>80</v>
      </c>
      <c r="O431" t="s">
        <v>677</v>
      </c>
      <c r="P431">
        <v>0</v>
      </c>
      <c r="Q431" t="s">
        <v>677</v>
      </c>
      <c r="U431">
        <v>45</v>
      </c>
      <c r="W431" t="s">
        <v>800</v>
      </c>
      <c r="X431" t="s">
        <v>801</v>
      </c>
      <c r="Y431" t="s">
        <v>885</v>
      </c>
      <c r="AA431" t="s">
        <v>419</v>
      </c>
      <c r="AB431">
        <v>0</v>
      </c>
      <c r="AK431" t="s">
        <v>642</v>
      </c>
      <c r="AL431" t="s">
        <v>290</v>
      </c>
    </row>
    <row r="432" spans="1:39">
      <c r="A432" s="146">
        <v>46193.502511574072</v>
      </c>
      <c r="B432" s="146">
        <v>46193</v>
      </c>
      <c r="C432">
        <v>1921551</v>
      </c>
      <c r="D432" t="s">
        <v>380</v>
      </c>
      <c r="E432" t="s">
        <v>659</v>
      </c>
      <c r="F432" t="s">
        <v>650</v>
      </c>
      <c r="G432" t="s">
        <v>228</v>
      </c>
      <c r="H432" t="s">
        <v>641</v>
      </c>
      <c r="I432" t="s">
        <v>894</v>
      </c>
      <c r="J432">
        <f>615*3</f>
        <v>1845</v>
      </c>
      <c r="K432" s="141">
        <v>0</v>
      </c>
      <c r="L432">
        <v>0</v>
      </c>
      <c r="N432">
        <v>0</v>
      </c>
      <c r="O432" t="s">
        <v>677</v>
      </c>
      <c r="P432">
        <v>0</v>
      </c>
      <c r="Q432" t="s">
        <v>677</v>
      </c>
      <c r="S432">
        <v>0</v>
      </c>
      <c r="T432">
        <v>1</v>
      </c>
      <c r="U432">
        <v>60</v>
      </c>
      <c r="V432">
        <v>0</v>
      </c>
      <c r="W432" t="s">
        <v>800</v>
      </c>
      <c r="X432" t="s">
        <v>801</v>
      </c>
      <c r="Y432" t="s">
        <v>891</v>
      </c>
      <c r="AA432" t="s">
        <v>419</v>
      </c>
      <c r="AB432">
        <v>0</v>
      </c>
      <c r="AK432" t="s">
        <v>642</v>
      </c>
      <c r="AL432" t="s">
        <v>290</v>
      </c>
      <c r="AM432">
        <v>2</v>
      </c>
    </row>
    <row r="433" spans="1:39">
      <c r="A433" s="146">
        <v>46193.502511574072</v>
      </c>
      <c r="B433" s="146">
        <v>46193</v>
      </c>
      <c r="C433">
        <v>1921551</v>
      </c>
      <c r="D433" t="s">
        <v>380</v>
      </c>
      <c r="E433" t="s">
        <v>659</v>
      </c>
      <c r="F433" t="s">
        <v>650</v>
      </c>
      <c r="G433" t="s">
        <v>230</v>
      </c>
      <c r="H433" t="s">
        <v>641</v>
      </c>
      <c r="I433" t="s">
        <v>893</v>
      </c>
      <c r="J433">
        <v>3210</v>
      </c>
      <c r="K433" s="141">
        <v>27.927</v>
      </c>
      <c r="O433" t="s">
        <v>677</v>
      </c>
      <c r="P433">
        <v>0</v>
      </c>
      <c r="Q433" t="s">
        <v>677</v>
      </c>
      <c r="U433">
        <v>60</v>
      </c>
      <c r="W433" t="s">
        <v>800</v>
      </c>
      <c r="X433" t="s">
        <v>801</v>
      </c>
      <c r="Y433" t="s">
        <v>891</v>
      </c>
      <c r="AA433" t="s">
        <v>419</v>
      </c>
      <c r="AB433">
        <v>0</v>
      </c>
      <c r="AK433" t="s">
        <v>642</v>
      </c>
      <c r="AL433" t="s">
        <v>290</v>
      </c>
    </row>
    <row r="434" spans="1:39">
      <c r="A434" s="146">
        <v>46193.529872685183</v>
      </c>
      <c r="B434" s="146">
        <v>46193</v>
      </c>
      <c r="C434">
        <v>2325295</v>
      </c>
      <c r="D434" t="s">
        <v>411</v>
      </c>
      <c r="E434" t="s">
        <v>659</v>
      </c>
      <c r="F434" t="s">
        <v>650</v>
      </c>
      <c r="G434" t="s">
        <v>216</v>
      </c>
      <c r="H434" t="s">
        <v>641</v>
      </c>
      <c r="I434" t="s">
        <v>905</v>
      </c>
      <c r="J434">
        <v>1000</v>
      </c>
      <c r="K434" s="141">
        <v>51.6</v>
      </c>
      <c r="O434" t="s">
        <v>677</v>
      </c>
      <c r="P434">
        <v>0</v>
      </c>
      <c r="Q434" t="s">
        <v>677</v>
      </c>
      <c r="U434">
        <v>27</v>
      </c>
      <c r="W434" t="s">
        <v>800</v>
      </c>
      <c r="X434" t="s">
        <v>801</v>
      </c>
      <c r="Y434" t="s">
        <v>892</v>
      </c>
      <c r="AA434" t="s">
        <v>419</v>
      </c>
      <c r="AB434">
        <v>0</v>
      </c>
      <c r="AK434" t="s">
        <v>642</v>
      </c>
      <c r="AL434" t="s">
        <v>290</v>
      </c>
    </row>
    <row r="435" spans="1:39">
      <c r="A435" s="146">
        <v>46193.535451388889</v>
      </c>
      <c r="B435" s="146">
        <v>46193</v>
      </c>
      <c r="C435">
        <v>2325310</v>
      </c>
      <c r="D435" t="s">
        <v>413</v>
      </c>
      <c r="E435" t="s">
        <v>659</v>
      </c>
      <c r="F435" t="s">
        <v>650</v>
      </c>
      <c r="G435" t="s">
        <v>224</v>
      </c>
      <c r="H435" t="s">
        <v>641</v>
      </c>
      <c r="I435" t="s">
        <v>896</v>
      </c>
      <c r="J435">
        <v>3020</v>
      </c>
      <c r="K435" s="141">
        <v>54.058</v>
      </c>
      <c r="O435" t="s">
        <v>677</v>
      </c>
      <c r="P435">
        <v>2</v>
      </c>
      <c r="Q435" t="s">
        <v>677</v>
      </c>
      <c r="U435">
        <v>45</v>
      </c>
      <c r="W435" t="s">
        <v>800</v>
      </c>
      <c r="X435" t="s">
        <v>801</v>
      </c>
      <c r="Y435" t="s">
        <v>895</v>
      </c>
      <c r="AA435" t="s">
        <v>419</v>
      </c>
      <c r="AB435">
        <v>0</v>
      </c>
      <c r="AK435" t="s">
        <v>642</v>
      </c>
      <c r="AL435" t="s">
        <v>59</v>
      </c>
    </row>
    <row r="436" spans="1:39">
      <c r="A436" s="146">
        <v>46193.536608796298</v>
      </c>
      <c r="B436" s="146">
        <v>46193</v>
      </c>
      <c r="C436">
        <v>2325310</v>
      </c>
      <c r="D436" t="s">
        <v>413</v>
      </c>
      <c r="E436" t="s">
        <v>659</v>
      </c>
      <c r="F436" t="s">
        <v>650</v>
      </c>
      <c r="G436" t="s">
        <v>422</v>
      </c>
      <c r="H436" t="s">
        <v>641</v>
      </c>
      <c r="I436" t="s">
        <v>898</v>
      </c>
      <c r="J436">
        <v>1020</v>
      </c>
      <c r="K436" s="141">
        <v>0</v>
      </c>
      <c r="O436" t="s">
        <v>677</v>
      </c>
      <c r="P436">
        <v>0</v>
      </c>
      <c r="Q436" t="s">
        <v>677</v>
      </c>
      <c r="U436">
        <v>1020</v>
      </c>
      <c r="W436" t="s">
        <v>800</v>
      </c>
      <c r="X436" t="s">
        <v>801</v>
      </c>
      <c r="Y436" t="s">
        <v>897</v>
      </c>
      <c r="AA436" t="s">
        <v>419</v>
      </c>
      <c r="AB436">
        <v>0</v>
      </c>
      <c r="AK436" t="s">
        <v>642</v>
      </c>
      <c r="AL436" t="s">
        <v>59</v>
      </c>
    </row>
    <row r="437" spans="1:39">
      <c r="A437" s="146">
        <v>46193.563148148147</v>
      </c>
      <c r="B437" s="146">
        <v>46193</v>
      </c>
      <c r="C437">
        <v>2325365</v>
      </c>
      <c r="D437" t="s">
        <v>414</v>
      </c>
      <c r="E437" t="s">
        <v>659</v>
      </c>
      <c r="F437" t="s">
        <v>650</v>
      </c>
      <c r="G437" t="s">
        <v>223</v>
      </c>
      <c r="H437" t="s">
        <v>641</v>
      </c>
      <c r="I437" t="s">
        <v>900</v>
      </c>
      <c r="J437">
        <v>2790</v>
      </c>
      <c r="K437" s="141">
        <v>97.370999999999995</v>
      </c>
      <c r="O437" t="s">
        <v>677</v>
      </c>
      <c r="P437">
        <v>0</v>
      </c>
      <c r="Q437" t="s">
        <v>677</v>
      </c>
      <c r="U437">
        <v>30</v>
      </c>
      <c r="W437" t="s">
        <v>800</v>
      </c>
      <c r="X437" t="s">
        <v>801</v>
      </c>
      <c r="Y437" t="s">
        <v>899</v>
      </c>
      <c r="AA437" t="s">
        <v>419</v>
      </c>
      <c r="AB437">
        <v>0</v>
      </c>
      <c r="AK437" t="s">
        <v>642</v>
      </c>
      <c r="AL437" t="s">
        <v>290</v>
      </c>
    </row>
    <row r="438" spans="1:39">
      <c r="A438" s="146">
        <v>46193.566388888888</v>
      </c>
      <c r="B438" s="146">
        <v>46193</v>
      </c>
      <c r="C438">
        <v>2022158</v>
      </c>
      <c r="D438" t="s">
        <v>394</v>
      </c>
      <c r="E438" t="s">
        <v>659</v>
      </c>
      <c r="F438" t="s">
        <v>650</v>
      </c>
      <c r="G438" t="s">
        <v>236</v>
      </c>
      <c r="H438" t="s">
        <v>641</v>
      </c>
      <c r="I438" t="s">
        <v>904</v>
      </c>
      <c r="J438">
        <v>1620</v>
      </c>
      <c r="K438" s="141">
        <v>115.82999999999998</v>
      </c>
      <c r="O438" t="s">
        <v>677</v>
      </c>
      <c r="P438">
        <v>0</v>
      </c>
      <c r="Q438" t="s">
        <v>677</v>
      </c>
      <c r="U438">
        <v>17</v>
      </c>
      <c r="W438" t="s">
        <v>800</v>
      </c>
      <c r="X438" t="s">
        <v>801</v>
      </c>
      <c r="Y438" t="s">
        <v>901</v>
      </c>
      <c r="AA438" t="s">
        <v>419</v>
      </c>
      <c r="AB438">
        <v>0</v>
      </c>
      <c r="AK438" t="s">
        <v>642</v>
      </c>
      <c r="AL438" t="s">
        <v>290</v>
      </c>
    </row>
    <row r="439" spans="1:39">
      <c r="A439" s="146">
        <v>46193.567025462966</v>
      </c>
      <c r="B439" s="146">
        <v>46193</v>
      </c>
      <c r="C439">
        <v>2022158</v>
      </c>
      <c r="D439" t="s">
        <v>394</v>
      </c>
      <c r="E439" t="s">
        <v>659</v>
      </c>
      <c r="F439" t="s">
        <v>650</v>
      </c>
      <c r="G439" t="s">
        <v>240</v>
      </c>
      <c r="H439" t="s">
        <v>641</v>
      </c>
      <c r="I439" t="s">
        <v>903</v>
      </c>
      <c r="J439">
        <v>1060</v>
      </c>
      <c r="K439" s="141">
        <v>147.76400000000001</v>
      </c>
      <c r="O439" t="s">
        <v>677</v>
      </c>
      <c r="P439">
        <v>0</v>
      </c>
      <c r="Q439" t="s">
        <v>677</v>
      </c>
      <c r="U439">
        <v>10</v>
      </c>
      <c r="W439" t="s">
        <v>800</v>
      </c>
      <c r="X439" t="s">
        <v>801</v>
      </c>
      <c r="Y439" t="s">
        <v>902</v>
      </c>
      <c r="AA439" t="s">
        <v>419</v>
      </c>
      <c r="AB439">
        <v>0</v>
      </c>
      <c r="AK439" t="s">
        <v>642</v>
      </c>
      <c r="AL439" t="s">
        <v>290</v>
      </c>
    </row>
    <row r="440" spans="1:39">
      <c r="A440" s="146">
        <v>46193.529872685183</v>
      </c>
      <c r="B440" s="146">
        <v>46193</v>
      </c>
      <c r="C440">
        <v>2325295</v>
      </c>
      <c r="D440" t="s">
        <v>411</v>
      </c>
      <c r="E440" t="s">
        <v>659</v>
      </c>
      <c r="F440" t="s">
        <v>650</v>
      </c>
      <c r="G440" t="s">
        <v>216</v>
      </c>
      <c r="H440" t="s">
        <v>641</v>
      </c>
      <c r="I440" t="s">
        <v>906</v>
      </c>
      <c r="J440">
        <v>1230</v>
      </c>
      <c r="K440" s="141">
        <v>64</v>
      </c>
      <c r="O440" t="s">
        <v>677</v>
      </c>
      <c r="P440">
        <v>0</v>
      </c>
      <c r="Q440" t="s">
        <v>677</v>
      </c>
      <c r="U440">
        <v>27</v>
      </c>
      <c r="W440" t="s">
        <v>800</v>
      </c>
      <c r="X440" t="s">
        <v>801</v>
      </c>
      <c r="Y440" t="s">
        <v>892</v>
      </c>
      <c r="AA440" t="s">
        <v>419</v>
      </c>
      <c r="AB440">
        <v>0</v>
      </c>
      <c r="AK440" t="s">
        <v>642</v>
      </c>
      <c r="AL440" t="s">
        <v>290</v>
      </c>
    </row>
    <row r="441" spans="1:39">
      <c r="A441" s="146">
        <v>46193.585150462961</v>
      </c>
      <c r="B441" s="146">
        <v>46193</v>
      </c>
      <c r="C441">
        <v>2228947</v>
      </c>
      <c r="D441" t="s">
        <v>416</v>
      </c>
      <c r="E441" t="s">
        <v>659</v>
      </c>
      <c r="F441" t="s">
        <v>650</v>
      </c>
      <c r="G441" t="s">
        <v>907</v>
      </c>
      <c r="H441" t="s">
        <v>641</v>
      </c>
      <c r="I441" t="s">
        <v>910</v>
      </c>
      <c r="J441">
        <v>3210</v>
      </c>
      <c r="K441" s="141">
        <v>27.927</v>
      </c>
      <c r="O441" t="s">
        <v>848</v>
      </c>
      <c r="P441">
        <v>0</v>
      </c>
      <c r="Q441" t="s">
        <v>848</v>
      </c>
      <c r="U441">
        <v>70</v>
      </c>
      <c r="W441" t="s">
        <v>800</v>
      </c>
      <c r="X441" t="s">
        <v>801</v>
      </c>
      <c r="Y441" t="s">
        <v>908</v>
      </c>
      <c r="AA441" t="s">
        <v>647</v>
      </c>
      <c r="AB441">
        <v>0</v>
      </c>
      <c r="AK441" t="s">
        <v>642</v>
      </c>
      <c r="AL441" t="s">
        <v>290</v>
      </c>
    </row>
    <row r="442" spans="1:39">
      <c r="A442" s="146">
        <v>46193.585787037038</v>
      </c>
      <c r="B442" s="146">
        <v>46193</v>
      </c>
      <c r="C442">
        <v>2228947</v>
      </c>
      <c r="D442" t="s">
        <v>416</v>
      </c>
      <c r="E442" t="s">
        <v>659</v>
      </c>
      <c r="F442" t="s">
        <v>650</v>
      </c>
      <c r="G442" t="s">
        <v>660</v>
      </c>
      <c r="H442" t="s">
        <v>641</v>
      </c>
      <c r="I442" t="s">
        <v>911</v>
      </c>
      <c r="J442">
        <v>2330</v>
      </c>
      <c r="K442" s="141">
        <v>81.317000000000007</v>
      </c>
      <c r="O442" t="s">
        <v>662</v>
      </c>
      <c r="P442">
        <v>0</v>
      </c>
      <c r="Q442" t="s">
        <v>662</v>
      </c>
      <c r="U442">
        <v>42</v>
      </c>
      <c r="W442" t="s">
        <v>800</v>
      </c>
      <c r="X442" t="s">
        <v>801</v>
      </c>
      <c r="Y442" t="s">
        <v>909</v>
      </c>
      <c r="AA442" t="s">
        <v>419</v>
      </c>
      <c r="AB442">
        <v>0</v>
      </c>
      <c r="AK442" t="s">
        <v>642</v>
      </c>
      <c r="AL442" t="s">
        <v>290</v>
      </c>
    </row>
    <row r="443" spans="1:39">
      <c r="A443" s="146">
        <v>46193.502511574072</v>
      </c>
      <c r="B443" s="146">
        <v>46193</v>
      </c>
      <c r="C443">
        <v>2243991</v>
      </c>
      <c r="D443" t="s">
        <v>410</v>
      </c>
      <c r="E443" t="s">
        <v>643</v>
      </c>
      <c r="F443" t="s">
        <v>650</v>
      </c>
      <c r="G443" t="s">
        <v>228</v>
      </c>
      <c r="H443" t="s">
        <v>641</v>
      </c>
      <c r="I443" t="s">
        <v>912</v>
      </c>
      <c r="J443">
        <v>1015</v>
      </c>
      <c r="K443" s="141">
        <v>51</v>
      </c>
      <c r="N443">
        <v>0</v>
      </c>
      <c r="O443" t="s">
        <v>677</v>
      </c>
      <c r="P443">
        <v>0</v>
      </c>
      <c r="Q443" t="s">
        <v>677</v>
      </c>
      <c r="S443">
        <v>0</v>
      </c>
      <c r="T443">
        <v>1</v>
      </c>
      <c r="U443">
        <v>60</v>
      </c>
      <c r="V443">
        <v>0</v>
      </c>
      <c r="W443" t="s">
        <v>800</v>
      </c>
      <c r="X443" t="s">
        <v>801</v>
      </c>
      <c r="Y443" t="s">
        <v>891</v>
      </c>
      <c r="AA443" t="s">
        <v>419</v>
      </c>
      <c r="AB443">
        <v>0</v>
      </c>
      <c r="AK443" t="s">
        <v>642</v>
      </c>
      <c r="AL443" t="s">
        <v>290</v>
      </c>
      <c r="AM443">
        <v>2</v>
      </c>
    </row>
    <row r="444" spans="1:39">
      <c r="A444" s="146">
        <v>46193.736134259256</v>
      </c>
      <c r="B444" s="146">
        <v>46193</v>
      </c>
      <c r="C444">
        <v>2325374</v>
      </c>
      <c r="D444" t="s">
        <v>415</v>
      </c>
      <c r="E444" t="s">
        <v>643</v>
      </c>
      <c r="F444" t="s">
        <v>650</v>
      </c>
      <c r="G444" t="s">
        <v>227</v>
      </c>
      <c r="H444" t="s">
        <v>641</v>
      </c>
      <c r="I444" t="s">
        <v>915</v>
      </c>
      <c r="J444">
        <v>3020</v>
      </c>
      <c r="K444" s="141">
        <v>54.058</v>
      </c>
      <c r="O444" t="s">
        <v>662</v>
      </c>
      <c r="P444">
        <v>0</v>
      </c>
      <c r="Q444" t="s">
        <v>662</v>
      </c>
      <c r="R444" t="s">
        <v>913</v>
      </c>
      <c r="U444">
        <v>45</v>
      </c>
      <c r="W444" t="s">
        <v>800</v>
      </c>
      <c r="X444" t="s">
        <v>801</v>
      </c>
      <c r="Y444" t="s">
        <v>914</v>
      </c>
      <c r="AA444" t="s">
        <v>419</v>
      </c>
      <c r="AB444">
        <v>0</v>
      </c>
      <c r="AK444" t="s">
        <v>642</v>
      </c>
      <c r="AL444" t="s">
        <v>290</v>
      </c>
    </row>
    <row r="445" spans="1:39">
      <c r="A445" s="146">
        <v>46193.786122685182</v>
      </c>
      <c r="B445" s="146">
        <v>46193</v>
      </c>
      <c r="C445">
        <v>2222785</v>
      </c>
      <c r="D445" t="s">
        <v>399</v>
      </c>
      <c r="E445" t="s">
        <v>643</v>
      </c>
      <c r="F445" t="s">
        <v>650</v>
      </c>
      <c r="G445" t="s">
        <v>223</v>
      </c>
      <c r="H445" t="s">
        <v>641</v>
      </c>
      <c r="I445" t="s">
        <v>917</v>
      </c>
      <c r="J445">
        <v>1860</v>
      </c>
      <c r="K445" s="141">
        <v>64.914000000000001</v>
      </c>
      <c r="O445" t="s">
        <v>662</v>
      </c>
      <c r="P445">
        <v>0</v>
      </c>
      <c r="Q445" t="s">
        <v>662</v>
      </c>
      <c r="U445">
        <v>30</v>
      </c>
      <c r="W445" t="s">
        <v>800</v>
      </c>
      <c r="X445" t="s">
        <v>801</v>
      </c>
      <c r="Y445" t="s">
        <v>916</v>
      </c>
      <c r="AA445" t="s">
        <v>419</v>
      </c>
      <c r="AB445">
        <v>0</v>
      </c>
      <c r="AK445" t="s">
        <v>642</v>
      </c>
      <c r="AL445" t="s">
        <v>290</v>
      </c>
    </row>
    <row r="446" spans="1:39">
      <c r="A446" s="146">
        <v>46193.856446759259</v>
      </c>
      <c r="B446" s="146">
        <v>46193</v>
      </c>
      <c r="C446">
        <v>2220255</v>
      </c>
      <c r="D446" t="s">
        <v>396</v>
      </c>
      <c r="E446" t="s">
        <v>643</v>
      </c>
      <c r="F446" t="s">
        <v>654</v>
      </c>
      <c r="G446" t="s">
        <v>268</v>
      </c>
      <c r="H446" t="s">
        <v>641</v>
      </c>
      <c r="I446" t="s">
        <v>93</v>
      </c>
      <c r="J446">
        <v>3690</v>
      </c>
      <c r="K446" s="141">
        <v>166.41900000000001</v>
      </c>
      <c r="L446">
        <v>0</v>
      </c>
      <c r="N446">
        <v>166.41900000000001</v>
      </c>
      <c r="O446" t="s">
        <v>662</v>
      </c>
      <c r="P446">
        <v>0</v>
      </c>
      <c r="Q446" t="s">
        <v>662</v>
      </c>
      <c r="S446">
        <v>2.1666666666666665</v>
      </c>
      <c r="T446">
        <v>4.5</v>
      </c>
      <c r="U446">
        <v>27</v>
      </c>
      <c r="V446">
        <v>0.50617283950617276</v>
      </c>
      <c r="W446" t="s">
        <v>800</v>
      </c>
      <c r="X446" t="s">
        <v>801</v>
      </c>
      <c r="Y446" t="s">
        <v>918</v>
      </c>
      <c r="AA446" t="s">
        <v>419</v>
      </c>
      <c r="AB446">
        <v>0</v>
      </c>
      <c r="AI446">
        <v>2</v>
      </c>
      <c r="AJ446">
        <v>3690</v>
      </c>
      <c r="AK446" t="s">
        <v>642</v>
      </c>
      <c r="AL446" t="s">
        <v>59</v>
      </c>
      <c r="AM446">
        <v>2</v>
      </c>
    </row>
    <row r="447" spans="1:39">
      <c r="A447" s="146">
        <v>46193.862453703703</v>
      </c>
      <c r="B447" s="146">
        <v>46193</v>
      </c>
      <c r="C447">
        <v>2220255</v>
      </c>
      <c r="D447" t="s">
        <v>396</v>
      </c>
      <c r="E447" t="s">
        <v>643</v>
      </c>
      <c r="F447" t="s">
        <v>650</v>
      </c>
      <c r="G447" t="s">
        <v>226</v>
      </c>
      <c r="H447" t="s">
        <v>641</v>
      </c>
      <c r="I447" t="s">
        <v>87</v>
      </c>
      <c r="J447">
        <v>3210</v>
      </c>
      <c r="K447" s="141">
        <v>27.927</v>
      </c>
      <c r="O447" t="s">
        <v>662</v>
      </c>
      <c r="P447">
        <v>0</v>
      </c>
      <c r="Q447" t="s">
        <v>662</v>
      </c>
      <c r="U447">
        <v>70</v>
      </c>
      <c r="W447" t="s">
        <v>800</v>
      </c>
      <c r="X447" t="s">
        <v>801</v>
      </c>
      <c r="Y447" t="s">
        <v>919</v>
      </c>
      <c r="AA447" t="s">
        <v>419</v>
      </c>
      <c r="AB447">
        <v>0</v>
      </c>
      <c r="AK447" t="s">
        <v>642</v>
      </c>
      <c r="AL447" t="s">
        <v>59</v>
      </c>
    </row>
    <row r="448" spans="1:39">
      <c r="A448" s="146">
        <v>46193.897268518522</v>
      </c>
      <c r="B448" s="146">
        <v>46193</v>
      </c>
      <c r="C448">
        <v>2020488</v>
      </c>
      <c r="D448" t="s">
        <v>383</v>
      </c>
      <c r="E448" t="s">
        <v>643</v>
      </c>
      <c r="F448" t="s">
        <v>650</v>
      </c>
      <c r="G448" t="s">
        <v>222</v>
      </c>
      <c r="H448" t="s">
        <v>641</v>
      </c>
      <c r="I448" t="s">
        <v>921</v>
      </c>
      <c r="J448">
        <v>2265</v>
      </c>
      <c r="K448" s="141">
        <v>40.543500000000002</v>
      </c>
      <c r="O448" t="s">
        <v>662</v>
      </c>
      <c r="P448">
        <v>0</v>
      </c>
      <c r="Q448" t="s">
        <v>662</v>
      </c>
      <c r="U448">
        <v>50</v>
      </c>
      <c r="W448" t="s">
        <v>800</v>
      </c>
      <c r="X448" t="s">
        <v>801</v>
      </c>
      <c r="Y448" t="s">
        <v>920</v>
      </c>
      <c r="AA448" t="s">
        <v>419</v>
      </c>
      <c r="AB448">
        <v>0</v>
      </c>
      <c r="AK448" t="s">
        <v>642</v>
      </c>
      <c r="AL448" t="s">
        <v>290</v>
      </c>
    </row>
    <row r="449" spans="1:39">
      <c r="A449" s="146">
        <v>46193.898657407408</v>
      </c>
      <c r="B449" s="146">
        <v>46193</v>
      </c>
      <c r="C449">
        <v>2325374</v>
      </c>
      <c r="D449" t="s">
        <v>415</v>
      </c>
      <c r="E449" t="s">
        <v>643</v>
      </c>
      <c r="F449" t="s">
        <v>650</v>
      </c>
      <c r="G449" t="s">
        <v>216</v>
      </c>
      <c r="H449" t="s">
        <v>641</v>
      </c>
      <c r="I449" t="s">
        <v>95</v>
      </c>
      <c r="J449">
        <v>1230</v>
      </c>
      <c r="K449" s="141">
        <v>63.468000000000004</v>
      </c>
      <c r="O449" t="s">
        <v>662</v>
      </c>
      <c r="P449">
        <v>0</v>
      </c>
      <c r="Q449" t="s">
        <v>662</v>
      </c>
      <c r="R449" t="s">
        <v>922</v>
      </c>
      <c r="U449">
        <v>27</v>
      </c>
      <c r="W449" t="s">
        <v>800</v>
      </c>
      <c r="X449" t="s">
        <v>801</v>
      </c>
      <c r="Y449" t="s">
        <v>923</v>
      </c>
      <c r="AA449" t="s">
        <v>419</v>
      </c>
      <c r="AB449">
        <v>0</v>
      </c>
      <c r="AK449" t="s">
        <v>642</v>
      </c>
      <c r="AL449" t="s">
        <v>290</v>
      </c>
    </row>
    <row r="450" spans="1:39">
      <c r="A450" s="146">
        <v>46194.135358796295</v>
      </c>
      <c r="B450" s="146">
        <v>46193</v>
      </c>
      <c r="C450">
        <v>2223535</v>
      </c>
      <c r="D450" t="s">
        <v>400</v>
      </c>
      <c r="E450" t="s">
        <v>653</v>
      </c>
      <c r="F450" t="s">
        <v>650</v>
      </c>
      <c r="G450" t="s">
        <v>422</v>
      </c>
      <c r="H450" t="s">
        <v>641</v>
      </c>
      <c r="I450" t="s">
        <v>97</v>
      </c>
      <c r="J450">
        <v>1020</v>
      </c>
      <c r="K450" s="141">
        <v>72.929999999999993</v>
      </c>
      <c r="O450" t="s">
        <v>662</v>
      </c>
      <c r="P450">
        <v>0</v>
      </c>
      <c r="Q450" t="s">
        <v>662</v>
      </c>
      <c r="U450">
        <v>17</v>
      </c>
      <c r="W450" t="s">
        <v>800</v>
      </c>
      <c r="X450" t="s">
        <v>801</v>
      </c>
      <c r="Y450" t="s">
        <v>924</v>
      </c>
      <c r="AA450" t="s">
        <v>419</v>
      </c>
      <c r="AB450">
        <v>0</v>
      </c>
      <c r="AK450" t="s">
        <v>642</v>
      </c>
      <c r="AL450" t="s">
        <v>59</v>
      </c>
    </row>
    <row r="451" spans="1:39">
      <c r="A451" s="146">
        <v>46194.201249999998</v>
      </c>
      <c r="B451" s="146">
        <v>46193</v>
      </c>
      <c r="C451">
        <v>2223535</v>
      </c>
      <c r="D451" t="s">
        <v>400</v>
      </c>
      <c r="E451" t="s">
        <v>653</v>
      </c>
      <c r="F451" t="s">
        <v>650</v>
      </c>
      <c r="G451" t="s">
        <v>226</v>
      </c>
      <c r="H451" t="s">
        <v>641</v>
      </c>
      <c r="I451" t="s">
        <v>86</v>
      </c>
      <c r="J451">
        <v>3210</v>
      </c>
      <c r="K451" s="141">
        <v>27.927</v>
      </c>
      <c r="O451" t="s">
        <v>925</v>
      </c>
      <c r="P451">
        <v>0</v>
      </c>
      <c r="Q451" t="s">
        <v>925</v>
      </c>
      <c r="U451">
        <v>60</v>
      </c>
      <c r="W451" t="s">
        <v>800</v>
      </c>
      <c r="X451" t="s">
        <v>801</v>
      </c>
      <c r="Y451" t="s">
        <v>926</v>
      </c>
      <c r="AA451" t="s">
        <v>647</v>
      </c>
      <c r="AB451">
        <v>0</v>
      </c>
      <c r="AK451" t="s">
        <v>642</v>
      </c>
      <c r="AL451" t="s">
        <v>59</v>
      </c>
    </row>
    <row r="452" spans="1:39">
      <c r="A452" s="146">
        <v>46195.543842592589</v>
      </c>
      <c r="B452" s="146">
        <v>46193</v>
      </c>
      <c r="C452">
        <v>2220255</v>
      </c>
      <c r="D452" t="s">
        <v>396</v>
      </c>
      <c r="E452" t="s">
        <v>643</v>
      </c>
      <c r="F452" t="s">
        <v>650</v>
      </c>
      <c r="G452" t="s">
        <v>227</v>
      </c>
      <c r="H452" t="s">
        <v>641</v>
      </c>
      <c r="I452" t="s">
        <v>90</v>
      </c>
      <c r="J452">
        <v>1510</v>
      </c>
      <c r="K452" s="141">
        <v>27.029</v>
      </c>
      <c r="O452" t="s">
        <v>925</v>
      </c>
      <c r="P452">
        <v>0</v>
      </c>
      <c r="Q452" t="s">
        <v>925</v>
      </c>
      <c r="U452">
        <v>45</v>
      </c>
      <c r="W452" t="s">
        <v>800</v>
      </c>
      <c r="X452" t="s">
        <v>801</v>
      </c>
      <c r="Y452" t="s">
        <v>927</v>
      </c>
      <c r="AA452" t="s">
        <v>647</v>
      </c>
      <c r="AB452">
        <v>0</v>
      </c>
      <c r="AK452" t="s">
        <v>642</v>
      </c>
      <c r="AL452" t="s">
        <v>290</v>
      </c>
    </row>
    <row r="453" spans="1:39">
      <c r="A453" s="146">
        <v>46195.544733796298</v>
      </c>
      <c r="B453" s="146">
        <v>46193</v>
      </c>
      <c r="C453">
        <v>2220255</v>
      </c>
      <c r="D453" t="s">
        <v>396</v>
      </c>
      <c r="E453" t="s">
        <v>643</v>
      </c>
      <c r="F453" t="s">
        <v>650</v>
      </c>
      <c r="G453" t="s">
        <v>227</v>
      </c>
      <c r="H453" t="s">
        <v>641</v>
      </c>
      <c r="I453" t="s">
        <v>90</v>
      </c>
      <c r="J453">
        <v>3020</v>
      </c>
      <c r="K453" s="141">
        <v>54.058</v>
      </c>
      <c r="O453" t="s">
        <v>925</v>
      </c>
      <c r="P453">
        <v>0</v>
      </c>
      <c r="Q453" t="s">
        <v>925</v>
      </c>
      <c r="U453">
        <v>45</v>
      </c>
      <c r="W453" t="s">
        <v>800</v>
      </c>
      <c r="X453" t="s">
        <v>801</v>
      </c>
      <c r="Y453" t="s">
        <v>928</v>
      </c>
      <c r="AA453" t="s">
        <v>647</v>
      </c>
      <c r="AB453">
        <v>0</v>
      </c>
      <c r="AK453" t="s">
        <v>642</v>
      </c>
      <c r="AL453" t="s">
        <v>290</v>
      </c>
    </row>
    <row r="454" spans="1:39">
      <c r="A454" s="146">
        <v>46195.545694444445</v>
      </c>
      <c r="B454" s="146">
        <v>46193</v>
      </c>
      <c r="C454">
        <v>2220255</v>
      </c>
      <c r="D454" t="s">
        <v>396</v>
      </c>
      <c r="E454" t="s">
        <v>643</v>
      </c>
      <c r="F454" t="s">
        <v>650</v>
      </c>
      <c r="G454" t="s">
        <v>216</v>
      </c>
      <c r="H454" t="s">
        <v>641</v>
      </c>
      <c r="I454" t="s">
        <v>93</v>
      </c>
      <c r="J454">
        <v>1230</v>
      </c>
      <c r="K454" s="141">
        <v>63.468000000000004</v>
      </c>
      <c r="O454" t="s">
        <v>925</v>
      </c>
      <c r="P454">
        <v>0</v>
      </c>
      <c r="Q454" t="s">
        <v>925</v>
      </c>
      <c r="U454">
        <v>27</v>
      </c>
      <c r="W454" t="s">
        <v>800</v>
      </c>
      <c r="X454" t="s">
        <v>801</v>
      </c>
      <c r="Y454" t="s">
        <v>929</v>
      </c>
      <c r="AA454" t="s">
        <v>647</v>
      </c>
      <c r="AB454">
        <v>0</v>
      </c>
      <c r="AK454" t="s">
        <v>642</v>
      </c>
      <c r="AL454" t="s">
        <v>290</v>
      </c>
    </row>
    <row r="455" spans="1:39">
      <c r="A455" s="146">
        <v>46195.565324074072</v>
      </c>
      <c r="B455" s="146">
        <v>46195.569374999999</v>
      </c>
      <c r="C455">
        <v>2020488</v>
      </c>
      <c r="D455" t="s">
        <v>383</v>
      </c>
      <c r="E455" t="s">
        <v>659</v>
      </c>
      <c r="F455" t="s">
        <v>650</v>
      </c>
      <c r="G455" t="s">
        <v>222</v>
      </c>
      <c r="H455" t="s">
        <v>641</v>
      </c>
      <c r="I455" t="s">
        <v>931</v>
      </c>
      <c r="J455">
        <v>2210</v>
      </c>
      <c r="K455" s="141">
        <v>39.558999999999997</v>
      </c>
      <c r="O455" t="s">
        <v>925</v>
      </c>
      <c r="P455">
        <v>0</v>
      </c>
      <c r="Q455" t="s">
        <v>925</v>
      </c>
      <c r="U455">
        <v>50</v>
      </c>
      <c r="W455" t="s">
        <v>800</v>
      </c>
      <c r="X455" t="s">
        <v>801</v>
      </c>
      <c r="Y455" t="s">
        <v>930</v>
      </c>
      <c r="AA455" t="s">
        <v>647</v>
      </c>
      <c r="AB455">
        <v>0</v>
      </c>
      <c r="AK455" t="s">
        <v>642</v>
      </c>
      <c r="AL455" t="s">
        <v>290</v>
      </c>
    </row>
    <row r="456" spans="1:39">
      <c r="A456" s="146">
        <v>46195.569374999999</v>
      </c>
      <c r="B456" s="146">
        <v>46195.569374999999</v>
      </c>
      <c r="C456">
        <v>2325374</v>
      </c>
      <c r="D456" t="s">
        <v>415</v>
      </c>
      <c r="E456" t="s">
        <v>659</v>
      </c>
      <c r="F456" t="s">
        <v>654</v>
      </c>
      <c r="G456" t="s">
        <v>673</v>
      </c>
      <c r="H456" t="s">
        <v>641</v>
      </c>
      <c r="I456" t="s">
        <v>96</v>
      </c>
      <c r="J456">
        <v>1510</v>
      </c>
      <c r="K456" s="141">
        <v>30.350999999999999</v>
      </c>
      <c r="L456">
        <v>13</v>
      </c>
      <c r="M456">
        <v>2</v>
      </c>
      <c r="N456">
        <v>45.350999999999999</v>
      </c>
      <c r="O456" t="s">
        <v>925</v>
      </c>
      <c r="P456">
        <v>0</v>
      </c>
      <c r="Q456" t="s">
        <v>925</v>
      </c>
      <c r="R456" t="s">
        <v>932</v>
      </c>
      <c r="S456">
        <v>0.66666666666666663</v>
      </c>
      <c r="T456">
        <v>1.2</v>
      </c>
      <c r="U456">
        <v>45</v>
      </c>
      <c r="V456">
        <v>0.4660493827160494</v>
      </c>
      <c r="W456" t="s">
        <v>800</v>
      </c>
      <c r="X456" t="s">
        <v>801</v>
      </c>
      <c r="Y456" t="s">
        <v>933</v>
      </c>
      <c r="AA456" t="s">
        <v>647</v>
      </c>
      <c r="AB456">
        <v>0</v>
      </c>
      <c r="AG456">
        <v>1</v>
      </c>
      <c r="AH456">
        <v>1510</v>
      </c>
      <c r="AK456" t="s">
        <v>642</v>
      </c>
      <c r="AL456" t="s">
        <v>290</v>
      </c>
      <c r="AM456">
        <v>1</v>
      </c>
    </row>
    <row r="457" spans="1:39">
      <c r="A457" s="146">
        <v>46195.569374999999</v>
      </c>
      <c r="B457" s="146">
        <v>46195.569374999999</v>
      </c>
      <c r="C457">
        <v>2325374</v>
      </c>
      <c r="D457" t="s">
        <v>415</v>
      </c>
      <c r="E457" t="s">
        <v>659</v>
      </c>
      <c r="F457" t="s">
        <v>650</v>
      </c>
      <c r="G457" t="s">
        <v>673</v>
      </c>
      <c r="H457" t="s">
        <v>641</v>
      </c>
      <c r="I457" t="s">
        <v>96</v>
      </c>
      <c r="K457" s="141">
        <v>0</v>
      </c>
      <c r="O457" t="s">
        <v>925</v>
      </c>
      <c r="P457">
        <v>0</v>
      </c>
      <c r="Q457" t="s">
        <v>925</v>
      </c>
      <c r="R457" t="s">
        <v>932</v>
      </c>
      <c r="U457">
        <v>45</v>
      </c>
      <c r="W457" t="s">
        <v>800</v>
      </c>
      <c r="X457" t="s">
        <v>801</v>
      </c>
      <c r="Y457" t="s">
        <v>933</v>
      </c>
      <c r="AA457" t="s">
        <v>647</v>
      </c>
      <c r="AB457">
        <v>0</v>
      </c>
      <c r="AK457" t="s">
        <v>642</v>
      </c>
      <c r="AL457" t="s">
        <v>290</v>
      </c>
    </row>
    <row r="458" spans="1:39">
      <c r="A458" s="146">
        <v>46195.569374999999</v>
      </c>
      <c r="B458" s="146">
        <v>46195.569374999999</v>
      </c>
      <c r="C458">
        <v>2222785</v>
      </c>
      <c r="D458" t="s">
        <v>399</v>
      </c>
      <c r="E458" t="s">
        <v>659</v>
      </c>
      <c r="F458" t="s">
        <v>650</v>
      </c>
      <c r="G458" t="s">
        <v>223</v>
      </c>
      <c r="H458" t="s">
        <v>641</v>
      </c>
      <c r="I458" t="s">
        <v>934</v>
      </c>
      <c r="J458">
        <v>930</v>
      </c>
      <c r="K458" s="141">
        <v>32.457000000000001</v>
      </c>
      <c r="O458" t="s">
        <v>662</v>
      </c>
      <c r="P458">
        <v>0</v>
      </c>
      <c r="Q458" t="s">
        <v>662</v>
      </c>
      <c r="U458">
        <v>30</v>
      </c>
      <c r="W458" t="s">
        <v>800</v>
      </c>
      <c r="X458" t="s">
        <v>801</v>
      </c>
      <c r="Y458" t="s">
        <v>916</v>
      </c>
      <c r="AA458" t="s">
        <v>419</v>
      </c>
      <c r="AB458">
        <v>0</v>
      </c>
      <c r="AK458" t="s">
        <v>642</v>
      </c>
      <c r="AL458" t="s">
        <v>290</v>
      </c>
    </row>
    <row r="459" spans="1:39">
      <c r="A459" s="146">
        <v>46195.871006944442</v>
      </c>
      <c r="B459" s="146">
        <v>46195.569374999999</v>
      </c>
      <c r="C459">
        <v>2224288</v>
      </c>
      <c r="D459" t="s">
        <v>401</v>
      </c>
      <c r="E459" t="s">
        <v>643</v>
      </c>
      <c r="F459" t="s">
        <v>650</v>
      </c>
      <c r="G459" t="s">
        <v>223</v>
      </c>
      <c r="H459" t="s">
        <v>641</v>
      </c>
      <c r="I459" t="s">
        <v>82</v>
      </c>
      <c r="J459">
        <v>930</v>
      </c>
      <c r="K459" s="141">
        <v>32.457000000000001</v>
      </c>
      <c r="O459" t="s">
        <v>925</v>
      </c>
      <c r="P459">
        <v>0</v>
      </c>
      <c r="Q459" t="s">
        <v>925</v>
      </c>
      <c r="U459">
        <v>30</v>
      </c>
      <c r="W459" t="s">
        <v>800</v>
      </c>
      <c r="X459" t="s">
        <v>801</v>
      </c>
      <c r="Y459" t="s">
        <v>935</v>
      </c>
      <c r="AA459" t="s">
        <v>647</v>
      </c>
      <c r="AB459">
        <v>0</v>
      </c>
      <c r="AK459" t="s">
        <v>642</v>
      </c>
      <c r="AL459" t="s">
        <v>290</v>
      </c>
    </row>
    <row r="460" spans="1:39">
      <c r="A460" s="146">
        <v>46195.874328703707</v>
      </c>
      <c r="B460" s="146">
        <v>46195.569374999999</v>
      </c>
      <c r="C460">
        <v>2224288</v>
      </c>
      <c r="D460" t="s">
        <v>401</v>
      </c>
      <c r="E460" t="s">
        <v>643</v>
      </c>
      <c r="F460" t="s">
        <v>650</v>
      </c>
      <c r="G460" t="s">
        <v>222</v>
      </c>
      <c r="H460" t="s">
        <v>641</v>
      </c>
      <c r="I460" t="s">
        <v>98</v>
      </c>
      <c r="J460">
        <v>500</v>
      </c>
      <c r="K460" s="141">
        <v>8.9499999999999993</v>
      </c>
      <c r="O460" t="s">
        <v>925</v>
      </c>
      <c r="P460">
        <v>0</v>
      </c>
      <c r="Q460" t="s">
        <v>925</v>
      </c>
      <c r="U460">
        <v>50</v>
      </c>
      <c r="W460" t="s">
        <v>800</v>
      </c>
      <c r="X460" t="s">
        <v>801</v>
      </c>
      <c r="Y460" t="s">
        <v>936</v>
      </c>
      <c r="AA460" t="s">
        <v>647</v>
      </c>
      <c r="AB460">
        <v>0</v>
      </c>
      <c r="AK460" t="s">
        <v>642</v>
      </c>
      <c r="AL460" t="s">
        <v>290</v>
      </c>
    </row>
    <row r="461" spans="1:39">
      <c r="A461" s="146">
        <v>46195.876331018517</v>
      </c>
      <c r="B461" s="146">
        <v>46195.569374999999</v>
      </c>
      <c r="C461">
        <v>2241656</v>
      </c>
      <c r="D461" t="s">
        <v>409</v>
      </c>
      <c r="E461" t="s">
        <v>643</v>
      </c>
      <c r="F461" t="s">
        <v>650</v>
      </c>
      <c r="G461" t="s">
        <v>673</v>
      </c>
      <c r="H461" t="s">
        <v>641</v>
      </c>
      <c r="I461" t="s">
        <v>938</v>
      </c>
      <c r="J461">
        <v>1510</v>
      </c>
      <c r="K461" s="141">
        <v>30.350999999999999</v>
      </c>
      <c r="O461" t="s">
        <v>925</v>
      </c>
      <c r="P461">
        <v>0</v>
      </c>
      <c r="Q461" t="s">
        <v>925</v>
      </c>
      <c r="U461">
        <v>45</v>
      </c>
      <c r="W461" t="s">
        <v>800</v>
      </c>
      <c r="X461" t="s">
        <v>801</v>
      </c>
      <c r="Y461" t="s">
        <v>937</v>
      </c>
      <c r="AA461" t="s">
        <v>647</v>
      </c>
      <c r="AB461">
        <v>0</v>
      </c>
      <c r="AK461" t="s">
        <v>642</v>
      </c>
      <c r="AL461" t="s">
        <v>290</v>
      </c>
    </row>
    <row r="462" spans="1:39">
      <c r="A462" s="146">
        <v>46195.876331018517</v>
      </c>
      <c r="B462" s="146">
        <v>46195.569374999999</v>
      </c>
      <c r="C462">
        <v>2241656</v>
      </c>
      <c r="D462" t="s">
        <v>409</v>
      </c>
      <c r="E462" t="s">
        <v>643</v>
      </c>
      <c r="F462" t="s">
        <v>654</v>
      </c>
      <c r="G462" t="s">
        <v>673</v>
      </c>
      <c r="H462" t="s">
        <v>641</v>
      </c>
      <c r="I462" t="s">
        <v>96</v>
      </c>
      <c r="J462">
        <v>1510</v>
      </c>
      <c r="K462" s="141">
        <v>30.350999999999999</v>
      </c>
      <c r="O462" t="s">
        <v>925</v>
      </c>
      <c r="P462">
        <v>0</v>
      </c>
      <c r="Q462" t="s">
        <v>925</v>
      </c>
      <c r="U462">
        <v>45</v>
      </c>
      <c r="W462" t="s">
        <v>800</v>
      </c>
      <c r="X462" t="s">
        <v>801</v>
      </c>
      <c r="Y462" t="s">
        <v>937</v>
      </c>
      <c r="AA462" t="s">
        <v>647</v>
      </c>
      <c r="AB462">
        <v>0</v>
      </c>
      <c r="AK462" t="s">
        <v>642</v>
      </c>
      <c r="AL462" t="s">
        <v>290</v>
      </c>
    </row>
    <row r="463" spans="1:39">
      <c r="A463" s="146">
        <v>46195.885243055556</v>
      </c>
      <c r="B463" s="146">
        <v>46195.569374999999</v>
      </c>
      <c r="C463">
        <v>2021645</v>
      </c>
      <c r="D463" t="s">
        <v>629</v>
      </c>
      <c r="E463" t="s">
        <v>643</v>
      </c>
      <c r="F463" t="s">
        <v>650</v>
      </c>
      <c r="G463" t="s">
        <v>231</v>
      </c>
      <c r="H463" t="s">
        <v>641</v>
      </c>
      <c r="I463" t="s">
        <v>87</v>
      </c>
      <c r="J463">
        <v>3210</v>
      </c>
      <c r="K463" s="141">
        <v>27.927</v>
      </c>
      <c r="O463" t="s">
        <v>925</v>
      </c>
      <c r="P463">
        <v>0</v>
      </c>
      <c r="Q463" t="s">
        <v>925</v>
      </c>
      <c r="U463">
        <v>70</v>
      </c>
      <c r="W463" t="s">
        <v>800</v>
      </c>
      <c r="X463" t="s">
        <v>801</v>
      </c>
      <c r="Y463" t="s">
        <v>939</v>
      </c>
      <c r="AA463" t="s">
        <v>647</v>
      </c>
      <c r="AB463">
        <v>0</v>
      </c>
      <c r="AK463" t="s">
        <v>642</v>
      </c>
      <c r="AL463" t="s">
        <v>290</v>
      </c>
    </row>
    <row r="464" spans="1:39">
      <c r="A464" s="146">
        <v>46195.885844907411</v>
      </c>
      <c r="B464" s="146">
        <v>46195.569374999999</v>
      </c>
      <c r="C464">
        <v>2021645</v>
      </c>
      <c r="D464" t="s">
        <v>629</v>
      </c>
      <c r="E464" t="s">
        <v>643</v>
      </c>
      <c r="F464" t="s">
        <v>650</v>
      </c>
      <c r="G464" t="s">
        <v>223</v>
      </c>
      <c r="H464" t="s">
        <v>641</v>
      </c>
      <c r="I464" t="s">
        <v>94</v>
      </c>
      <c r="J464">
        <v>2330</v>
      </c>
      <c r="K464" s="141">
        <v>81.317000000000007</v>
      </c>
      <c r="O464" t="s">
        <v>662</v>
      </c>
      <c r="P464">
        <v>0</v>
      </c>
      <c r="Q464" t="s">
        <v>662</v>
      </c>
      <c r="U464">
        <v>42</v>
      </c>
      <c r="W464" t="s">
        <v>800</v>
      </c>
      <c r="X464" t="s">
        <v>801</v>
      </c>
      <c r="Y464" t="s">
        <v>940</v>
      </c>
      <c r="AA464" t="s">
        <v>647</v>
      </c>
      <c r="AB464">
        <v>0</v>
      </c>
      <c r="AK464" t="s">
        <v>642</v>
      </c>
      <c r="AL464" t="s">
        <v>290</v>
      </c>
    </row>
    <row r="465" spans="1:39">
      <c r="A465" s="146">
        <v>46195.89912037037</v>
      </c>
      <c r="B465" s="146">
        <v>46195.569374999999</v>
      </c>
      <c r="C465">
        <v>2223535</v>
      </c>
      <c r="D465" t="s">
        <v>400</v>
      </c>
      <c r="E465" t="s">
        <v>643</v>
      </c>
      <c r="F465" t="s">
        <v>650</v>
      </c>
      <c r="G465" t="s">
        <v>229</v>
      </c>
      <c r="H465" t="s">
        <v>641</v>
      </c>
      <c r="I465" t="s">
        <v>97</v>
      </c>
      <c r="J465">
        <v>1020</v>
      </c>
      <c r="K465" s="141">
        <v>72.929999999999993</v>
      </c>
      <c r="O465" t="s">
        <v>941</v>
      </c>
      <c r="P465">
        <v>0</v>
      </c>
      <c r="Q465" t="s">
        <v>941</v>
      </c>
      <c r="R465" t="s">
        <v>942</v>
      </c>
      <c r="U465">
        <v>17</v>
      </c>
      <c r="W465" t="s">
        <v>800</v>
      </c>
      <c r="X465" t="s">
        <v>801</v>
      </c>
      <c r="Y465" t="s">
        <v>943</v>
      </c>
      <c r="AA465" t="s">
        <v>419</v>
      </c>
      <c r="AB465">
        <v>0</v>
      </c>
      <c r="AK465" t="s">
        <v>642</v>
      </c>
      <c r="AL465" t="s">
        <v>290</v>
      </c>
    </row>
    <row r="466" spans="1:39">
      <c r="A466" s="146">
        <v>46195.89912037037</v>
      </c>
      <c r="B466" s="146">
        <v>46195.569374999999</v>
      </c>
      <c r="C466">
        <v>2223535</v>
      </c>
      <c r="D466" t="s">
        <v>400</v>
      </c>
      <c r="E466" t="s">
        <v>643</v>
      </c>
      <c r="F466" t="s">
        <v>650</v>
      </c>
      <c r="G466" t="s">
        <v>216</v>
      </c>
      <c r="H466" t="s">
        <v>641</v>
      </c>
      <c r="I466" t="s">
        <v>93</v>
      </c>
      <c r="J466">
        <v>1230</v>
      </c>
      <c r="K466" s="141">
        <v>72.929999999999993</v>
      </c>
      <c r="O466" t="s">
        <v>941</v>
      </c>
      <c r="P466">
        <v>0</v>
      </c>
      <c r="Q466" t="s">
        <v>941</v>
      </c>
      <c r="R466" t="s">
        <v>942</v>
      </c>
      <c r="U466">
        <v>17</v>
      </c>
      <c r="W466" t="s">
        <v>800</v>
      </c>
      <c r="X466" t="s">
        <v>801</v>
      </c>
      <c r="Y466" t="s">
        <v>943</v>
      </c>
      <c r="AA466" t="s">
        <v>419</v>
      </c>
      <c r="AB466">
        <v>0</v>
      </c>
      <c r="AK466" t="s">
        <v>642</v>
      </c>
      <c r="AL466" t="s">
        <v>290</v>
      </c>
    </row>
    <row r="467" spans="1:39">
      <c r="A467" s="146">
        <v>46196.18372685185</v>
      </c>
      <c r="B467" s="146">
        <v>46195.569374999999</v>
      </c>
      <c r="C467">
        <v>2022158</v>
      </c>
      <c r="D467" t="s">
        <v>394</v>
      </c>
      <c r="E467" t="s">
        <v>653</v>
      </c>
      <c r="F467" t="s">
        <v>654</v>
      </c>
      <c r="G467" t="s">
        <v>240</v>
      </c>
      <c r="H467" t="s">
        <v>641</v>
      </c>
      <c r="I467" t="s">
        <v>99</v>
      </c>
      <c r="J467">
        <v>1760</v>
      </c>
      <c r="K467" s="141">
        <v>245.34399999999999</v>
      </c>
      <c r="L467">
        <v>30</v>
      </c>
      <c r="M467">
        <v>0</v>
      </c>
      <c r="N467">
        <v>245.34399999999999</v>
      </c>
      <c r="O467" t="s">
        <v>941</v>
      </c>
      <c r="P467">
        <v>0</v>
      </c>
      <c r="Q467" t="s">
        <v>941</v>
      </c>
      <c r="S467">
        <v>0.7</v>
      </c>
      <c r="T467">
        <v>3.6</v>
      </c>
      <c r="U467">
        <v>10</v>
      </c>
      <c r="V467">
        <v>0.81481481481481477</v>
      </c>
      <c r="W467" t="s">
        <v>800</v>
      </c>
      <c r="X467" t="s">
        <v>801</v>
      </c>
      <c r="Y467" t="s">
        <v>944</v>
      </c>
      <c r="AA467" t="s">
        <v>419</v>
      </c>
      <c r="AB467">
        <v>0</v>
      </c>
      <c r="AG467">
        <v>4</v>
      </c>
      <c r="AH467">
        <v>1760</v>
      </c>
      <c r="AK467" t="s">
        <v>642</v>
      </c>
      <c r="AL467" t="s">
        <v>290</v>
      </c>
      <c r="AM467">
        <v>3</v>
      </c>
    </row>
    <row r="468" spans="1:39">
      <c r="A468" s="146">
        <v>46196.18372685185</v>
      </c>
      <c r="B468" s="146">
        <v>46195.569374999999</v>
      </c>
      <c r="C468">
        <v>2022158</v>
      </c>
      <c r="D468" t="s">
        <v>394</v>
      </c>
      <c r="E468" t="s">
        <v>653</v>
      </c>
      <c r="F468" t="s">
        <v>650</v>
      </c>
      <c r="G468" t="s">
        <v>240</v>
      </c>
      <c r="H468" t="s">
        <v>641</v>
      </c>
      <c r="I468" t="s">
        <v>99</v>
      </c>
      <c r="J468">
        <v>420</v>
      </c>
      <c r="K468" s="141">
        <v>58.548000000000002</v>
      </c>
      <c r="O468" t="s">
        <v>941</v>
      </c>
      <c r="P468">
        <v>0</v>
      </c>
      <c r="Q468" t="s">
        <v>941</v>
      </c>
      <c r="U468">
        <v>10</v>
      </c>
      <c r="W468" t="s">
        <v>800</v>
      </c>
      <c r="X468" t="s">
        <v>801</v>
      </c>
      <c r="Y468" t="s">
        <v>944</v>
      </c>
      <c r="AA468" t="s">
        <v>419</v>
      </c>
      <c r="AB468">
        <v>0</v>
      </c>
      <c r="AK468" t="s">
        <v>642</v>
      </c>
      <c r="AL468" t="s">
        <v>290</v>
      </c>
    </row>
    <row r="469" spans="1:39">
      <c r="A469" s="146">
        <v>46196.185949074075</v>
      </c>
      <c r="B469" s="146">
        <v>46195.569374999999</v>
      </c>
      <c r="C469">
        <v>2022158</v>
      </c>
      <c r="D469" t="s">
        <v>394</v>
      </c>
      <c r="E469" t="s">
        <v>653</v>
      </c>
      <c r="F469" t="s">
        <v>654</v>
      </c>
      <c r="G469" t="s">
        <v>488</v>
      </c>
      <c r="H469" t="s">
        <v>641</v>
      </c>
      <c r="I469" t="s">
        <v>99</v>
      </c>
      <c r="J469">
        <v>1320</v>
      </c>
      <c r="K469" s="141">
        <v>184.00799999999998</v>
      </c>
      <c r="L469">
        <v>50</v>
      </c>
      <c r="M469">
        <v>0</v>
      </c>
      <c r="N469">
        <v>184.00799999999998</v>
      </c>
      <c r="O469" t="s">
        <v>941</v>
      </c>
      <c r="P469">
        <v>0</v>
      </c>
      <c r="Q469" t="s">
        <v>941</v>
      </c>
      <c r="S469">
        <v>1.5833333333333335</v>
      </c>
      <c r="T469">
        <v>3.8</v>
      </c>
      <c r="U469">
        <v>10</v>
      </c>
      <c r="V469">
        <v>0.57894736842105265</v>
      </c>
      <c r="W469" t="s">
        <v>800</v>
      </c>
      <c r="X469" t="s">
        <v>801</v>
      </c>
      <c r="Y469" t="s">
        <v>945</v>
      </c>
      <c r="AA469" t="s">
        <v>419</v>
      </c>
      <c r="AB469">
        <v>0</v>
      </c>
      <c r="AG469">
        <v>3</v>
      </c>
      <c r="AH469">
        <v>1320</v>
      </c>
      <c r="AK469" t="s">
        <v>642</v>
      </c>
      <c r="AL469" t="s">
        <v>290</v>
      </c>
      <c r="AM469">
        <v>3</v>
      </c>
    </row>
    <row r="470" spans="1:39">
      <c r="A470" s="146">
        <v>46196.185949074075</v>
      </c>
      <c r="B470" s="146">
        <v>46195.569374999999</v>
      </c>
      <c r="C470">
        <v>2022158</v>
      </c>
      <c r="D470" t="s">
        <v>975</v>
      </c>
      <c r="E470" t="s">
        <v>653</v>
      </c>
      <c r="F470" t="s">
        <v>650</v>
      </c>
      <c r="G470" t="s">
        <v>488</v>
      </c>
      <c r="H470" t="s">
        <v>641</v>
      </c>
      <c r="I470" t="s">
        <v>99</v>
      </c>
      <c r="J470">
        <v>440</v>
      </c>
      <c r="K470" s="141">
        <v>30.667999999999999</v>
      </c>
      <c r="O470" t="s">
        <v>941</v>
      </c>
      <c r="P470">
        <v>0</v>
      </c>
      <c r="Q470" t="s">
        <v>941</v>
      </c>
      <c r="U470">
        <v>10</v>
      </c>
      <c r="W470" t="s">
        <v>800</v>
      </c>
      <c r="X470" t="s">
        <v>801</v>
      </c>
      <c r="Y470" t="s">
        <v>945</v>
      </c>
      <c r="AA470" t="s">
        <v>419</v>
      </c>
      <c r="AB470">
        <v>0</v>
      </c>
      <c r="AK470" t="s">
        <v>642</v>
      </c>
      <c r="AL470" t="s">
        <v>290</v>
      </c>
    </row>
    <row r="471" spans="1:39">
      <c r="A471" s="146">
        <v>46196.189780092594</v>
      </c>
      <c r="B471" s="146">
        <v>46195.569374999999</v>
      </c>
      <c r="C471">
        <v>2022158</v>
      </c>
      <c r="D471" t="s">
        <v>394</v>
      </c>
      <c r="E471" t="s">
        <v>653</v>
      </c>
      <c r="F471" t="s">
        <v>650</v>
      </c>
      <c r="G471" t="s">
        <v>227</v>
      </c>
      <c r="H471" t="s">
        <v>641</v>
      </c>
      <c r="I471" t="s">
        <v>81</v>
      </c>
      <c r="J471">
        <v>3020</v>
      </c>
      <c r="K471" s="141">
        <v>54.058</v>
      </c>
      <c r="O471" t="s">
        <v>941</v>
      </c>
      <c r="P471">
        <v>0</v>
      </c>
      <c r="Q471" t="s">
        <v>941</v>
      </c>
      <c r="U471">
        <v>47</v>
      </c>
      <c r="W471" t="s">
        <v>800</v>
      </c>
      <c r="X471" t="s">
        <v>801</v>
      </c>
      <c r="Y471" t="s">
        <v>946</v>
      </c>
      <c r="AA471" t="s">
        <v>419</v>
      </c>
      <c r="AB471">
        <v>0</v>
      </c>
      <c r="AK471" t="s">
        <v>642</v>
      </c>
      <c r="AL471" t="s">
        <v>290</v>
      </c>
    </row>
    <row r="472" spans="1:39">
      <c r="A472" s="146">
        <v>46196.190162037034</v>
      </c>
      <c r="B472" s="146">
        <v>46195.569374999999</v>
      </c>
      <c r="C472">
        <v>2022158</v>
      </c>
      <c r="D472" t="s">
        <v>394</v>
      </c>
      <c r="E472" t="s">
        <v>653</v>
      </c>
      <c r="F472" t="s">
        <v>650</v>
      </c>
      <c r="G472" t="s">
        <v>236</v>
      </c>
      <c r="H472" t="s">
        <v>641</v>
      </c>
      <c r="I472" t="s">
        <v>956</v>
      </c>
      <c r="J472">
        <v>2040</v>
      </c>
      <c r="K472" s="141">
        <v>72.929999999999993</v>
      </c>
      <c r="O472" t="s">
        <v>941</v>
      </c>
      <c r="P472">
        <v>0</v>
      </c>
      <c r="Q472" t="s">
        <v>941</v>
      </c>
      <c r="U472">
        <v>17</v>
      </c>
      <c r="W472" t="s">
        <v>800</v>
      </c>
      <c r="X472" t="s">
        <v>801</v>
      </c>
      <c r="Y472" t="s">
        <v>947</v>
      </c>
      <c r="AA472" t="s">
        <v>419</v>
      </c>
      <c r="AB472">
        <v>0</v>
      </c>
      <c r="AK472" t="s">
        <v>642</v>
      </c>
      <c r="AL472" t="s">
        <v>290</v>
      </c>
    </row>
    <row r="473" spans="1:39">
      <c r="A473" s="146">
        <v>46196.218206018515</v>
      </c>
      <c r="B473" s="146">
        <v>46195.569374999999</v>
      </c>
      <c r="C473">
        <v>1921551</v>
      </c>
      <c r="D473" t="s">
        <v>380</v>
      </c>
      <c r="E473" t="s">
        <v>653</v>
      </c>
      <c r="F473" t="s">
        <v>650</v>
      </c>
      <c r="G473" t="s">
        <v>425</v>
      </c>
      <c r="H473" t="s">
        <v>641</v>
      </c>
      <c r="I473" t="s">
        <v>951</v>
      </c>
      <c r="J473">
        <f>2*3210</f>
        <v>6420</v>
      </c>
      <c r="K473" s="141">
        <v>52.964999999999996</v>
      </c>
      <c r="O473" t="s">
        <v>941</v>
      </c>
      <c r="P473">
        <v>0</v>
      </c>
      <c r="Q473" t="s">
        <v>941</v>
      </c>
      <c r="U473">
        <v>60</v>
      </c>
      <c r="W473" t="s">
        <v>800</v>
      </c>
      <c r="X473" t="s">
        <v>801</v>
      </c>
      <c r="Y473" t="s">
        <v>948</v>
      </c>
      <c r="AA473" t="s">
        <v>419</v>
      </c>
      <c r="AB473">
        <v>0</v>
      </c>
      <c r="AK473" t="s">
        <v>642</v>
      </c>
      <c r="AL473" t="s">
        <v>290</v>
      </c>
    </row>
    <row r="474" spans="1:39">
      <c r="A474" s="146">
        <v>46196.218206018515</v>
      </c>
      <c r="B474" s="146">
        <v>46195.569374999999</v>
      </c>
      <c r="C474">
        <v>2325295</v>
      </c>
      <c r="D474" t="s">
        <v>411</v>
      </c>
      <c r="E474" t="s">
        <v>653</v>
      </c>
      <c r="F474" t="s">
        <v>949</v>
      </c>
      <c r="G474" t="s">
        <v>224</v>
      </c>
      <c r="H474" t="s">
        <v>641</v>
      </c>
      <c r="I474" t="s">
        <v>950</v>
      </c>
      <c r="J474">
        <f>14*1510</f>
        <v>21140</v>
      </c>
      <c r="K474" s="141">
        <v>54.236999999999995</v>
      </c>
      <c r="O474" t="s">
        <v>753</v>
      </c>
      <c r="P474">
        <v>0</v>
      </c>
      <c r="Q474" t="s">
        <v>753</v>
      </c>
      <c r="U474">
        <v>45</v>
      </c>
      <c r="W474" t="s">
        <v>658</v>
      </c>
      <c r="X474" t="s">
        <v>657</v>
      </c>
      <c r="Y474" t="s">
        <v>757</v>
      </c>
      <c r="AA474" t="s">
        <v>419</v>
      </c>
      <c r="AB474">
        <v>0</v>
      </c>
      <c r="AK474" t="s">
        <v>642</v>
      </c>
      <c r="AL474" t="s">
        <v>290</v>
      </c>
    </row>
    <row r="475" spans="1:39">
      <c r="A475" s="146">
        <v>46196.242303240739</v>
      </c>
      <c r="B475" s="146">
        <v>46195.569374999999</v>
      </c>
      <c r="C475">
        <v>2020965</v>
      </c>
      <c r="D475" t="s">
        <v>386</v>
      </c>
      <c r="E475" t="s">
        <v>653</v>
      </c>
      <c r="F475" t="s">
        <v>654</v>
      </c>
      <c r="G475" t="s">
        <v>673</v>
      </c>
      <c r="H475" t="s">
        <v>641</v>
      </c>
      <c r="I475" t="s">
        <v>96</v>
      </c>
      <c r="J475">
        <v>6040</v>
      </c>
      <c r="K475" s="141">
        <v>121.404</v>
      </c>
      <c r="M475">
        <v>4</v>
      </c>
      <c r="N475">
        <v>125.404</v>
      </c>
      <c r="O475" t="s">
        <v>952</v>
      </c>
      <c r="P475">
        <v>0</v>
      </c>
      <c r="Q475" t="s">
        <v>952</v>
      </c>
      <c r="S475">
        <v>5.75</v>
      </c>
      <c r="T475">
        <v>8</v>
      </c>
      <c r="U475">
        <v>45</v>
      </c>
      <c r="V475">
        <v>0.27962962962962962</v>
      </c>
      <c r="W475" t="s">
        <v>800</v>
      </c>
      <c r="X475" t="s">
        <v>801</v>
      </c>
      <c r="Y475" t="s">
        <v>953</v>
      </c>
      <c r="AA475" t="s">
        <v>647</v>
      </c>
      <c r="AB475">
        <v>0</v>
      </c>
      <c r="AG475">
        <v>3</v>
      </c>
      <c r="AH475">
        <v>6040</v>
      </c>
      <c r="AK475" t="s">
        <v>642</v>
      </c>
      <c r="AL475" t="s">
        <v>290</v>
      </c>
      <c r="AM475">
        <v>2</v>
      </c>
    </row>
    <row r="476" spans="1:39">
      <c r="A476" s="146">
        <v>46196.218206018515</v>
      </c>
      <c r="B476" s="146">
        <v>46195.569374999999</v>
      </c>
      <c r="C476">
        <v>1921551</v>
      </c>
      <c r="D476" t="s">
        <v>380</v>
      </c>
      <c r="E476" t="s">
        <v>653</v>
      </c>
      <c r="F476" t="s">
        <v>650</v>
      </c>
      <c r="G476" t="s">
        <v>229</v>
      </c>
      <c r="H476" t="s">
        <v>641</v>
      </c>
      <c r="I476" t="s">
        <v>954</v>
      </c>
      <c r="J476">
        <f>1020*2</f>
        <v>2040</v>
      </c>
      <c r="K476" s="141">
        <v>52.964999999999996</v>
      </c>
      <c r="O476" t="s">
        <v>941</v>
      </c>
      <c r="P476">
        <v>0</v>
      </c>
      <c r="Q476" t="s">
        <v>941</v>
      </c>
      <c r="U476">
        <v>60</v>
      </c>
      <c r="W476" t="s">
        <v>800</v>
      </c>
      <c r="X476" t="s">
        <v>801</v>
      </c>
      <c r="Y476" t="s">
        <v>948</v>
      </c>
      <c r="AA476" t="s">
        <v>419</v>
      </c>
      <c r="AB476">
        <v>0</v>
      </c>
      <c r="AK476" t="s">
        <v>642</v>
      </c>
      <c r="AL476" t="s">
        <v>290</v>
      </c>
    </row>
    <row r="477" spans="1:39">
      <c r="A477" s="146">
        <v>46196.218206018515</v>
      </c>
      <c r="B477" s="146">
        <v>46195.569374999999</v>
      </c>
      <c r="C477">
        <v>2020965</v>
      </c>
      <c r="D477" t="s">
        <v>386</v>
      </c>
      <c r="E477" t="s">
        <v>653</v>
      </c>
      <c r="F477" t="s">
        <v>650</v>
      </c>
      <c r="G477" t="s">
        <v>228</v>
      </c>
      <c r="H477" t="s">
        <v>641</v>
      </c>
      <c r="I477" t="s">
        <v>955</v>
      </c>
      <c r="J477">
        <v>2460</v>
      </c>
      <c r="K477" s="141">
        <v>126</v>
      </c>
      <c r="O477" t="s">
        <v>665</v>
      </c>
      <c r="P477">
        <v>1</v>
      </c>
      <c r="Q477" t="s">
        <v>665</v>
      </c>
      <c r="U477">
        <v>21</v>
      </c>
      <c r="W477" t="s">
        <v>658</v>
      </c>
      <c r="X477" t="s">
        <v>657</v>
      </c>
      <c r="Y477" t="s">
        <v>792</v>
      </c>
      <c r="AA477" t="s">
        <v>647</v>
      </c>
      <c r="AB477">
        <v>0</v>
      </c>
      <c r="AK477" t="s">
        <v>642</v>
      </c>
      <c r="AL477" t="s">
        <v>59</v>
      </c>
    </row>
    <row r="478" spans="1:39">
      <c r="A478" s="146">
        <v>46196.414375</v>
      </c>
      <c r="B478" s="146">
        <v>46196</v>
      </c>
      <c r="C478">
        <v>2325374</v>
      </c>
      <c r="D478" t="s">
        <v>415</v>
      </c>
      <c r="E478" t="s">
        <v>659</v>
      </c>
      <c r="F478" t="s">
        <v>650</v>
      </c>
      <c r="G478" t="s">
        <v>469</v>
      </c>
      <c r="H478" t="s">
        <v>641</v>
      </c>
      <c r="I478" t="s">
        <v>960</v>
      </c>
      <c r="J478">
        <v>2210</v>
      </c>
      <c r="K478" s="141">
        <v>44.420999999999999</v>
      </c>
      <c r="O478" t="s">
        <v>952</v>
      </c>
      <c r="P478">
        <v>0</v>
      </c>
      <c r="Q478" t="s">
        <v>952</v>
      </c>
      <c r="R478" t="s">
        <v>957</v>
      </c>
      <c r="U478">
        <v>45</v>
      </c>
      <c r="W478" t="s">
        <v>958</v>
      </c>
      <c r="X478" t="s">
        <v>883</v>
      </c>
      <c r="Y478" t="s">
        <v>959</v>
      </c>
      <c r="AA478" t="s">
        <v>647</v>
      </c>
      <c r="AB478">
        <v>0</v>
      </c>
      <c r="AK478" t="s">
        <v>642</v>
      </c>
      <c r="AL478" t="s">
        <v>290</v>
      </c>
    </row>
    <row r="479" spans="1:39">
      <c r="A479" s="146">
        <v>46196.414375</v>
      </c>
      <c r="B479" s="146">
        <v>46196</v>
      </c>
      <c r="C479">
        <v>2243991</v>
      </c>
      <c r="D479" t="s">
        <v>410</v>
      </c>
      <c r="E479" t="s">
        <v>659</v>
      </c>
      <c r="F479" t="s">
        <v>650</v>
      </c>
      <c r="G479" t="s">
        <v>228</v>
      </c>
      <c r="H479" t="s">
        <v>641</v>
      </c>
      <c r="I479" t="s">
        <v>961</v>
      </c>
      <c r="J479">
        <v>1580</v>
      </c>
      <c r="K479" s="141">
        <v>64</v>
      </c>
      <c r="O479" t="s">
        <v>665</v>
      </c>
      <c r="P479">
        <v>1</v>
      </c>
      <c r="Q479" t="s">
        <v>665</v>
      </c>
      <c r="U479">
        <v>21</v>
      </c>
      <c r="W479" t="s">
        <v>658</v>
      </c>
      <c r="X479" t="s">
        <v>657</v>
      </c>
      <c r="Y479" t="s">
        <v>792</v>
      </c>
      <c r="AA479" t="s">
        <v>647</v>
      </c>
      <c r="AB479">
        <v>0</v>
      </c>
      <c r="AK479" t="s">
        <v>642</v>
      </c>
      <c r="AL479" t="s">
        <v>59</v>
      </c>
    </row>
    <row r="480" spans="1:39">
      <c r="A480" s="146">
        <v>46196.414375</v>
      </c>
      <c r="B480" s="146">
        <v>46196</v>
      </c>
      <c r="C480">
        <v>2325301</v>
      </c>
      <c r="D480" t="s">
        <v>412</v>
      </c>
      <c r="E480" t="s">
        <v>659</v>
      </c>
      <c r="F480" t="s">
        <v>650</v>
      </c>
      <c r="G480" t="s">
        <v>227</v>
      </c>
      <c r="H480" t="s">
        <v>641</v>
      </c>
      <c r="I480" t="s">
        <v>962</v>
      </c>
      <c r="J480">
        <v>1510</v>
      </c>
      <c r="K480" s="141">
        <v>30</v>
      </c>
      <c r="O480" t="s">
        <v>941</v>
      </c>
      <c r="P480">
        <v>0</v>
      </c>
      <c r="Q480" t="s">
        <v>941</v>
      </c>
      <c r="U480">
        <v>47</v>
      </c>
      <c r="W480" t="s">
        <v>800</v>
      </c>
      <c r="X480" t="s">
        <v>801</v>
      </c>
      <c r="Y480" t="s">
        <v>946</v>
      </c>
      <c r="AA480" t="s">
        <v>419</v>
      </c>
      <c r="AB480">
        <v>0</v>
      </c>
      <c r="AK480" t="s">
        <v>642</v>
      </c>
      <c r="AL480" t="s">
        <v>290</v>
      </c>
    </row>
    <row r="481" spans="1:39">
      <c r="A481" s="146">
        <v>46196.414375</v>
      </c>
      <c r="B481" s="146">
        <v>46196</v>
      </c>
      <c r="C481">
        <v>2325301</v>
      </c>
      <c r="D481" t="s">
        <v>412</v>
      </c>
      <c r="E481" t="s">
        <v>659</v>
      </c>
      <c r="F481" t="s">
        <v>650</v>
      </c>
      <c r="G481" t="s">
        <v>422</v>
      </c>
      <c r="H481" t="s">
        <v>641</v>
      </c>
      <c r="I481" t="s">
        <v>963</v>
      </c>
      <c r="J481">
        <v>800</v>
      </c>
      <c r="K481" s="141">
        <v>60</v>
      </c>
      <c r="O481" t="s">
        <v>941</v>
      </c>
      <c r="P481">
        <v>0</v>
      </c>
      <c r="Q481" t="s">
        <v>941</v>
      </c>
      <c r="U481">
        <v>17</v>
      </c>
      <c r="W481" t="s">
        <v>800</v>
      </c>
      <c r="X481" t="s">
        <v>801</v>
      </c>
      <c r="Y481" t="s">
        <v>947</v>
      </c>
      <c r="AA481" t="s">
        <v>419</v>
      </c>
      <c r="AB481">
        <v>0</v>
      </c>
      <c r="AK481" t="s">
        <v>642</v>
      </c>
      <c r="AL481" t="s">
        <v>290</v>
      </c>
    </row>
    <row r="482" spans="1:39">
      <c r="A482" s="146">
        <v>46196.550937499997</v>
      </c>
      <c r="B482" s="146">
        <v>46195</v>
      </c>
      <c r="C482">
        <v>2224358</v>
      </c>
      <c r="D482" t="s">
        <v>417</v>
      </c>
      <c r="E482" t="s">
        <v>659</v>
      </c>
      <c r="F482" t="s">
        <v>654</v>
      </c>
      <c r="G482" t="s">
        <v>232</v>
      </c>
      <c r="H482" t="s">
        <v>641</v>
      </c>
      <c r="I482" t="s">
        <v>94</v>
      </c>
      <c r="J482">
        <v>10230</v>
      </c>
      <c r="K482" s="141">
        <v>357.02699999999999</v>
      </c>
      <c r="L482">
        <v>2</v>
      </c>
      <c r="M482">
        <v>0</v>
      </c>
      <c r="N482">
        <v>359.02699999999999</v>
      </c>
      <c r="O482" t="s">
        <v>677</v>
      </c>
      <c r="P482">
        <v>0</v>
      </c>
      <c r="Q482" t="s">
        <v>677</v>
      </c>
      <c r="R482" t="s">
        <v>964</v>
      </c>
      <c r="S482">
        <v>1.8333333333333335</v>
      </c>
      <c r="T482">
        <v>6</v>
      </c>
      <c r="U482">
        <v>42</v>
      </c>
      <c r="V482">
        <v>0.67658730158730163</v>
      </c>
      <c r="W482" t="s">
        <v>958</v>
      </c>
      <c r="X482" t="s">
        <v>883</v>
      </c>
      <c r="Y482" t="s">
        <v>965</v>
      </c>
      <c r="AA482" t="s">
        <v>419</v>
      </c>
      <c r="AB482">
        <v>40</v>
      </c>
      <c r="AI482">
        <v>5</v>
      </c>
      <c r="AJ482">
        <v>10230</v>
      </c>
      <c r="AK482" t="s">
        <v>642</v>
      </c>
      <c r="AL482" t="s">
        <v>290</v>
      </c>
      <c r="AM482">
        <v>2</v>
      </c>
    </row>
    <row r="483" spans="1:39">
      <c r="A483" s="146">
        <v>46196.559629629628</v>
      </c>
      <c r="B483" s="146">
        <v>46195</v>
      </c>
      <c r="C483">
        <v>2325374</v>
      </c>
      <c r="D483" t="s">
        <v>415</v>
      </c>
      <c r="E483" t="s">
        <v>659</v>
      </c>
      <c r="F483" t="s">
        <v>650</v>
      </c>
      <c r="G483" t="s">
        <v>216</v>
      </c>
      <c r="H483" t="s">
        <v>641</v>
      </c>
      <c r="I483" t="s">
        <v>95</v>
      </c>
      <c r="J483">
        <v>1845</v>
      </c>
      <c r="K483" s="141">
        <v>95.201999999999998</v>
      </c>
      <c r="O483" t="s">
        <v>677</v>
      </c>
      <c r="P483">
        <v>0</v>
      </c>
      <c r="Q483" t="s">
        <v>677</v>
      </c>
      <c r="R483" t="s">
        <v>966</v>
      </c>
      <c r="U483">
        <v>27</v>
      </c>
      <c r="W483" t="s">
        <v>958</v>
      </c>
      <c r="X483" t="s">
        <v>883</v>
      </c>
      <c r="Y483" t="s">
        <v>967</v>
      </c>
      <c r="AA483" t="s">
        <v>419</v>
      </c>
      <c r="AB483">
        <v>40</v>
      </c>
      <c r="AK483" t="s">
        <v>642</v>
      </c>
      <c r="AL483" t="s">
        <v>290</v>
      </c>
    </row>
    <row r="484" spans="1:39">
      <c r="A484" s="146">
        <v>46196.560902777775</v>
      </c>
      <c r="B484" s="146">
        <v>46195</v>
      </c>
      <c r="C484">
        <v>2222785</v>
      </c>
      <c r="D484" t="s">
        <v>399</v>
      </c>
      <c r="E484" t="s">
        <v>659</v>
      </c>
      <c r="F484" t="s">
        <v>654</v>
      </c>
      <c r="G484" t="s">
        <v>237</v>
      </c>
      <c r="H484" t="s">
        <v>641</v>
      </c>
      <c r="I484" t="s">
        <v>99</v>
      </c>
      <c r="J484">
        <v>660</v>
      </c>
      <c r="K484" s="141">
        <v>92.003999999999991</v>
      </c>
      <c r="L484">
        <v>0</v>
      </c>
      <c r="M484">
        <v>0</v>
      </c>
      <c r="N484">
        <v>92.003999999999991</v>
      </c>
      <c r="O484" t="s">
        <v>677</v>
      </c>
      <c r="P484">
        <v>0</v>
      </c>
      <c r="Q484" t="s">
        <v>677</v>
      </c>
      <c r="S484">
        <v>0</v>
      </c>
      <c r="T484">
        <v>1.1000000000000001</v>
      </c>
      <c r="U484">
        <v>10</v>
      </c>
      <c r="V484">
        <v>1</v>
      </c>
      <c r="W484" t="s">
        <v>958</v>
      </c>
      <c r="X484" t="s">
        <v>883</v>
      </c>
      <c r="Y484" t="s">
        <v>968</v>
      </c>
      <c r="AA484" t="s">
        <v>419</v>
      </c>
      <c r="AB484">
        <v>40</v>
      </c>
      <c r="AG484">
        <v>2</v>
      </c>
      <c r="AH484">
        <v>660</v>
      </c>
      <c r="AK484" t="s">
        <v>642</v>
      </c>
      <c r="AL484" t="s">
        <v>59</v>
      </c>
      <c r="AM484">
        <v>2</v>
      </c>
    </row>
    <row r="485" spans="1:39">
      <c r="A485" s="146">
        <v>46196.765127314815</v>
      </c>
      <c r="B485" s="146">
        <v>46195</v>
      </c>
      <c r="C485">
        <v>2020390</v>
      </c>
      <c r="D485" t="s">
        <v>382</v>
      </c>
      <c r="E485" t="s">
        <v>643</v>
      </c>
      <c r="F485" t="s">
        <v>650</v>
      </c>
      <c r="G485" t="s">
        <v>227</v>
      </c>
      <c r="H485" t="s">
        <v>641</v>
      </c>
      <c r="I485" t="s">
        <v>89</v>
      </c>
      <c r="J485">
        <v>1510</v>
      </c>
      <c r="K485" s="141">
        <v>27.029</v>
      </c>
      <c r="O485" t="s">
        <v>969</v>
      </c>
      <c r="P485">
        <v>0</v>
      </c>
      <c r="Q485" t="s">
        <v>969</v>
      </c>
      <c r="R485" t="s">
        <v>970</v>
      </c>
      <c r="U485">
        <v>45</v>
      </c>
      <c r="W485" t="s">
        <v>958</v>
      </c>
      <c r="X485" t="s">
        <v>883</v>
      </c>
      <c r="Y485" t="s">
        <v>971</v>
      </c>
      <c r="AA485" t="s">
        <v>647</v>
      </c>
      <c r="AB485">
        <v>40</v>
      </c>
      <c r="AK485" t="s">
        <v>642</v>
      </c>
      <c r="AL485" t="s">
        <v>290</v>
      </c>
    </row>
    <row r="486" spans="1:39">
      <c r="A486" s="146">
        <v>46196.7658912037</v>
      </c>
      <c r="B486" s="146">
        <v>46195</v>
      </c>
      <c r="C486">
        <v>2020390</v>
      </c>
      <c r="D486" t="s">
        <v>382</v>
      </c>
      <c r="E486" t="s">
        <v>643</v>
      </c>
      <c r="F486" t="s">
        <v>650</v>
      </c>
      <c r="G486" t="s">
        <v>227</v>
      </c>
      <c r="H486" t="s">
        <v>641</v>
      </c>
      <c r="I486" t="s">
        <v>89</v>
      </c>
      <c r="J486">
        <v>1510</v>
      </c>
      <c r="K486" s="141">
        <v>27.029</v>
      </c>
      <c r="O486" t="s">
        <v>969</v>
      </c>
      <c r="P486">
        <v>0</v>
      </c>
      <c r="Q486" t="s">
        <v>969</v>
      </c>
      <c r="R486" t="s">
        <v>970</v>
      </c>
      <c r="U486">
        <v>45</v>
      </c>
      <c r="W486" t="s">
        <v>958</v>
      </c>
      <c r="X486" t="s">
        <v>883</v>
      </c>
      <c r="Y486" t="s">
        <v>972</v>
      </c>
      <c r="AA486" t="s">
        <v>647</v>
      </c>
      <c r="AB486">
        <v>40</v>
      </c>
      <c r="AK486" t="s">
        <v>642</v>
      </c>
      <c r="AL486" t="s">
        <v>290</v>
      </c>
    </row>
    <row r="487" spans="1:39">
      <c r="A487" s="146">
        <v>46196.879155092596</v>
      </c>
      <c r="B487" s="146">
        <v>46195</v>
      </c>
      <c r="C487">
        <v>2222332</v>
      </c>
      <c r="D487" t="s">
        <v>406</v>
      </c>
      <c r="E487" t="s">
        <v>643</v>
      </c>
      <c r="F487" t="s">
        <v>650</v>
      </c>
      <c r="G487" t="s">
        <v>227</v>
      </c>
      <c r="H487" t="s">
        <v>641</v>
      </c>
      <c r="I487" t="s">
        <v>81</v>
      </c>
      <c r="J487">
        <v>3020</v>
      </c>
      <c r="K487" s="141">
        <v>54.058</v>
      </c>
      <c r="O487" t="s">
        <v>969</v>
      </c>
      <c r="P487">
        <v>0</v>
      </c>
      <c r="Q487" t="s">
        <v>969</v>
      </c>
      <c r="U487">
        <v>47</v>
      </c>
      <c r="W487" t="s">
        <v>958</v>
      </c>
      <c r="X487" t="s">
        <v>883</v>
      </c>
      <c r="Y487" t="s">
        <v>973</v>
      </c>
      <c r="AA487" t="s">
        <v>647</v>
      </c>
      <c r="AB487">
        <v>40</v>
      </c>
      <c r="AK487" t="s">
        <v>642</v>
      </c>
      <c r="AL487" t="s">
        <v>290</v>
      </c>
    </row>
    <row r="488" spans="1:39">
      <c r="A488" s="146">
        <v>46196.895671296297</v>
      </c>
      <c r="B488" s="146">
        <v>46195</v>
      </c>
      <c r="C488">
        <v>2021645</v>
      </c>
      <c r="D488" t="s">
        <v>629</v>
      </c>
      <c r="E488" t="s">
        <v>643</v>
      </c>
      <c r="F488" t="s">
        <v>650</v>
      </c>
      <c r="G488" t="s">
        <v>223</v>
      </c>
      <c r="H488" t="s">
        <v>641</v>
      </c>
      <c r="I488" t="s">
        <v>94</v>
      </c>
      <c r="J488">
        <v>2330</v>
      </c>
      <c r="K488" s="141">
        <v>81.317000000000007</v>
      </c>
      <c r="O488" t="s">
        <v>677</v>
      </c>
      <c r="P488">
        <v>0</v>
      </c>
      <c r="Q488" t="s">
        <v>677</v>
      </c>
      <c r="R488" t="s">
        <v>964</v>
      </c>
      <c r="U488">
        <v>42</v>
      </c>
      <c r="W488" t="s">
        <v>958</v>
      </c>
      <c r="X488" t="s">
        <v>883</v>
      </c>
      <c r="Y488" t="s">
        <v>974</v>
      </c>
      <c r="AA488" t="s">
        <v>647</v>
      </c>
      <c r="AB488">
        <v>40</v>
      </c>
      <c r="AK488" t="s">
        <v>642</v>
      </c>
      <c r="AL488" t="s">
        <v>290</v>
      </c>
    </row>
    <row r="489" spans="1:39">
      <c r="A489" s="146">
        <v>46197.182395833333</v>
      </c>
      <c r="B489" s="146">
        <v>46196</v>
      </c>
      <c r="C489">
        <v>2325295</v>
      </c>
      <c r="D489" t="s">
        <v>411</v>
      </c>
      <c r="E489" t="s">
        <v>653</v>
      </c>
      <c r="F489" t="s">
        <v>650</v>
      </c>
      <c r="G489" t="s">
        <v>216</v>
      </c>
      <c r="H489" t="s">
        <v>641</v>
      </c>
      <c r="I489" t="s">
        <v>977</v>
      </c>
      <c r="J489">
        <v>1230</v>
      </c>
      <c r="K489" s="141">
        <v>63.468000000000004</v>
      </c>
      <c r="O489" t="s">
        <v>969</v>
      </c>
      <c r="P489">
        <v>0</v>
      </c>
      <c r="Q489" t="s">
        <v>969</v>
      </c>
      <c r="U489">
        <v>27</v>
      </c>
      <c r="W489" t="s">
        <v>958</v>
      </c>
      <c r="X489" t="s">
        <v>883</v>
      </c>
      <c r="Y489" t="s">
        <v>976</v>
      </c>
      <c r="AA489" t="s">
        <v>647</v>
      </c>
      <c r="AB489">
        <v>40</v>
      </c>
      <c r="AK489" t="s">
        <v>642</v>
      </c>
      <c r="AL489" t="s">
        <v>290</v>
      </c>
    </row>
    <row r="490" spans="1:39">
      <c r="A490" s="146">
        <v>46197.182395833333</v>
      </c>
      <c r="B490" s="146">
        <v>46197.182395833333</v>
      </c>
      <c r="C490">
        <v>2020965</v>
      </c>
      <c r="D490" t="s">
        <v>386</v>
      </c>
      <c r="E490" t="s">
        <v>653</v>
      </c>
      <c r="F490" t="s">
        <v>650</v>
      </c>
      <c r="G490" t="s">
        <v>216</v>
      </c>
      <c r="H490" t="s">
        <v>641</v>
      </c>
      <c r="I490" t="s">
        <v>978</v>
      </c>
      <c r="J490">
        <v>1230</v>
      </c>
      <c r="K490" s="141">
        <v>32</v>
      </c>
      <c r="O490" t="s">
        <v>665</v>
      </c>
      <c r="P490">
        <v>1</v>
      </c>
      <c r="Q490" t="s">
        <v>665</v>
      </c>
      <c r="U490">
        <v>21</v>
      </c>
      <c r="W490" t="s">
        <v>658</v>
      </c>
      <c r="X490" t="s">
        <v>657</v>
      </c>
      <c r="Y490" t="s">
        <v>792</v>
      </c>
      <c r="AA490" t="s">
        <v>647</v>
      </c>
      <c r="AB490">
        <v>0</v>
      </c>
      <c r="AK490" t="s">
        <v>642</v>
      </c>
      <c r="AL490" t="s">
        <v>59</v>
      </c>
    </row>
    <row r="491" spans="1:39">
      <c r="A491" s="146">
        <v>46197.213171296295</v>
      </c>
      <c r="B491" s="146">
        <v>46196</v>
      </c>
      <c r="C491">
        <v>2325295</v>
      </c>
      <c r="D491" t="s">
        <v>411</v>
      </c>
      <c r="E491" t="s">
        <v>653</v>
      </c>
      <c r="F491" t="s">
        <v>650</v>
      </c>
      <c r="G491" t="s">
        <v>227</v>
      </c>
      <c r="H491" t="s">
        <v>641</v>
      </c>
      <c r="I491" t="s">
        <v>980</v>
      </c>
      <c r="J491">
        <v>3030</v>
      </c>
      <c r="K491" s="141">
        <v>54.236999999999995</v>
      </c>
      <c r="O491" t="s">
        <v>969</v>
      </c>
      <c r="P491">
        <v>0</v>
      </c>
      <c r="Q491" t="s">
        <v>969</v>
      </c>
      <c r="U491">
        <v>45</v>
      </c>
      <c r="W491" t="s">
        <v>958</v>
      </c>
      <c r="X491" t="s">
        <v>883</v>
      </c>
      <c r="Y491" t="s">
        <v>979</v>
      </c>
      <c r="AA491" t="s">
        <v>647</v>
      </c>
      <c r="AB491">
        <v>40</v>
      </c>
      <c r="AK491" t="s">
        <v>642</v>
      </c>
      <c r="AL491" t="s">
        <v>290</v>
      </c>
    </row>
    <row r="492" spans="1:39">
      <c r="A492" s="146">
        <v>46197.224606481483</v>
      </c>
      <c r="B492" s="146">
        <v>46196</v>
      </c>
      <c r="C492">
        <v>2022158</v>
      </c>
      <c r="D492" t="s">
        <v>394</v>
      </c>
      <c r="E492" t="s">
        <v>653</v>
      </c>
      <c r="F492" t="s">
        <v>650</v>
      </c>
      <c r="G492" t="s">
        <v>227</v>
      </c>
      <c r="H492" t="s">
        <v>641</v>
      </c>
      <c r="I492" t="s">
        <v>982</v>
      </c>
      <c r="J492">
        <v>1510</v>
      </c>
      <c r="K492" s="141">
        <v>27.029</v>
      </c>
      <c r="O492" t="s">
        <v>941</v>
      </c>
      <c r="P492">
        <v>0</v>
      </c>
      <c r="Q492" t="s">
        <v>941</v>
      </c>
      <c r="U492">
        <v>47</v>
      </c>
      <c r="W492" t="s">
        <v>958</v>
      </c>
      <c r="X492" t="s">
        <v>883</v>
      </c>
      <c r="Y492" t="s">
        <v>981</v>
      </c>
      <c r="AA492" t="s">
        <v>419</v>
      </c>
      <c r="AB492">
        <v>40</v>
      </c>
      <c r="AK492" t="s">
        <v>642</v>
      </c>
      <c r="AL492" t="s">
        <v>290</v>
      </c>
    </row>
    <row r="493" spans="1:39">
      <c r="A493" s="146">
        <v>46197.232511574075</v>
      </c>
      <c r="B493" s="146">
        <v>46196</v>
      </c>
      <c r="C493">
        <v>1921551</v>
      </c>
      <c r="D493" t="s">
        <v>380</v>
      </c>
      <c r="E493" t="s">
        <v>653</v>
      </c>
      <c r="F493" t="s">
        <v>650</v>
      </c>
      <c r="G493" t="s">
        <v>230</v>
      </c>
      <c r="H493" t="s">
        <v>641</v>
      </c>
      <c r="I493" t="s">
        <v>984</v>
      </c>
      <c r="J493">
        <f>3210*2+1000</f>
        <v>7420</v>
      </c>
      <c r="K493" s="141">
        <v>0</v>
      </c>
      <c r="L493">
        <v>0</v>
      </c>
      <c r="M493">
        <v>0</v>
      </c>
      <c r="N493">
        <v>0</v>
      </c>
      <c r="O493" t="s">
        <v>941</v>
      </c>
      <c r="P493">
        <v>0</v>
      </c>
      <c r="Q493" t="s">
        <v>941</v>
      </c>
      <c r="S493">
        <v>0</v>
      </c>
      <c r="T493">
        <v>1</v>
      </c>
      <c r="U493">
        <v>1</v>
      </c>
      <c r="V493">
        <v>0</v>
      </c>
      <c r="W493" t="s">
        <v>958</v>
      </c>
      <c r="X493" t="s">
        <v>883</v>
      </c>
      <c r="Y493" t="s">
        <v>983</v>
      </c>
      <c r="AA493" t="s">
        <v>419</v>
      </c>
      <c r="AB493">
        <v>40</v>
      </c>
      <c r="AK493" t="s">
        <v>642</v>
      </c>
      <c r="AL493" t="s">
        <v>290</v>
      </c>
      <c r="AM493">
        <v>2</v>
      </c>
    </row>
    <row r="494" spans="1:39">
      <c r="A494" s="146">
        <v>46197.232511574075</v>
      </c>
      <c r="B494" s="146">
        <v>46196</v>
      </c>
      <c r="C494">
        <v>1921551</v>
      </c>
      <c r="D494" t="s">
        <v>380</v>
      </c>
      <c r="E494" t="s">
        <v>653</v>
      </c>
      <c r="F494" t="s">
        <v>650</v>
      </c>
      <c r="G494" t="s">
        <v>236</v>
      </c>
      <c r="H494" t="s">
        <v>641</v>
      </c>
      <c r="I494" t="s">
        <v>985</v>
      </c>
      <c r="J494">
        <v>1020</v>
      </c>
      <c r="K494" s="141">
        <v>72.929999999999993</v>
      </c>
      <c r="O494" t="s">
        <v>941</v>
      </c>
      <c r="P494">
        <v>0</v>
      </c>
      <c r="Q494" t="s">
        <v>941</v>
      </c>
      <c r="U494">
        <v>1</v>
      </c>
      <c r="W494" t="s">
        <v>958</v>
      </c>
      <c r="X494" t="s">
        <v>883</v>
      </c>
      <c r="Y494" t="s">
        <v>983</v>
      </c>
      <c r="AA494" t="s">
        <v>419</v>
      </c>
      <c r="AB494">
        <v>40</v>
      </c>
      <c r="AK494" t="s">
        <v>642</v>
      </c>
      <c r="AL494" t="s">
        <v>290</v>
      </c>
    </row>
    <row r="495" spans="1:39">
      <c r="A495" s="146">
        <v>46197.235555555555</v>
      </c>
      <c r="B495" s="146">
        <v>46196</v>
      </c>
      <c r="C495">
        <v>2221908</v>
      </c>
      <c r="D495" t="s">
        <v>398</v>
      </c>
      <c r="E495" t="s">
        <v>653</v>
      </c>
      <c r="F495" t="s">
        <v>650</v>
      </c>
      <c r="G495" t="s">
        <v>227</v>
      </c>
      <c r="H495" t="s">
        <v>641</v>
      </c>
      <c r="I495" t="s">
        <v>1018</v>
      </c>
      <c r="J495">
        <v>3020</v>
      </c>
      <c r="K495" s="141">
        <v>81.087000000000003</v>
      </c>
      <c r="O495" t="s">
        <v>720</v>
      </c>
      <c r="P495">
        <v>0</v>
      </c>
      <c r="Q495" t="s">
        <v>720</v>
      </c>
      <c r="U495">
        <v>45</v>
      </c>
      <c r="W495" t="s">
        <v>958</v>
      </c>
      <c r="X495" t="s">
        <v>883</v>
      </c>
      <c r="Y495" t="s">
        <v>986</v>
      </c>
      <c r="AA495" t="s">
        <v>647</v>
      </c>
      <c r="AB495">
        <v>40</v>
      </c>
      <c r="AK495" t="s">
        <v>642</v>
      </c>
      <c r="AL495" t="s">
        <v>290</v>
      </c>
    </row>
    <row r="496" spans="1:39">
      <c r="A496" s="146">
        <v>46197.236250000002</v>
      </c>
      <c r="B496" s="146">
        <v>46196</v>
      </c>
      <c r="C496">
        <v>2221908</v>
      </c>
      <c r="D496" t="s">
        <v>398</v>
      </c>
      <c r="E496" t="s">
        <v>653</v>
      </c>
      <c r="F496" t="s">
        <v>650</v>
      </c>
      <c r="G496" t="s">
        <v>228</v>
      </c>
      <c r="H496" t="s">
        <v>641</v>
      </c>
      <c r="I496" t="s">
        <v>988</v>
      </c>
      <c r="J496">
        <v>630</v>
      </c>
      <c r="K496" s="141">
        <v>32.508000000000003</v>
      </c>
      <c r="O496" t="s">
        <v>651</v>
      </c>
      <c r="P496">
        <v>1</v>
      </c>
      <c r="Q496" t="s">
        <v>651</v>
      </c>
      <c r="U496">
        <v>21</v>
      </c>
      <c r="W496" t="s">
        <v>958</v>
      </c>
      <c r="X496" t="s">
        <v>883</v>
      </c>
      <c r="Y496" t="s">
        <v>987</v>
      </c>
      <c r="AA496" t="s">
        <v>419</v>
      </c>
      <c r="AB496">
        <v>40</v>
      </c>
      <c r="AK496" t="s">
        <v>642</v>
      </c>
      <c r="AL496" t="s">
        <v>59</v>
      </c>
    </row>
    <row r="497" spans="1:39">
      <c r="A497" s="146">
        <v>46197.23978009259</v>
      </c>
      <c r="B497" s="146">
        <v>46196</v>
      </c>
      <c r="C497">
        <v>2228947</v>
      </c>
      <c r="D497" t="s">
        <v>416</v>
      </c>
      <c r="E497" t="s">
        <v>653</v>
      </c>
      <c r="F497" t="s">
        <v>650</v>
      </c>
      <c r="G497" t="s">
        <v>774</v>
      </c>
      <c r="H497" t="s">
        <v>641</v>
      </c>
      <c r="I497" t="s">
        <v>992</v>
      </c>
      <c r="J497">
        <v>6420</v>
      </c>
      <c r="K497" s="141">
        <v>55.853999999999999</v>
      </c>
      <c r="O497" t="s">
        <v>989</v>
      </c>
      <c r="P497">
        <v>0</v>
      </c>
      <c r="Q497" t="s">
        <v>989</v>
      </c>
      <c r="U497">
        <v>70</v>
      </c>
      <c r="W497" t="s">
        <v>958</v>
      </c>
      <c r="X497" t="s">
        <v>883</v>
      </c>
      <c r="Y497" t="s">
        <v>990</v>
      </c>
      <c r="AA497" t="s">
        <v>647</v>
      </c>
      <c r="AB497">
        <v>40</v>
      </c>
      <c r="AK497" t="s">
        <v>642</v>
      </c>
      <c r="AL497" t="s">
        <v>290</v>
      </c>
    </row>
    <row r="498" spans="1:39">
      <c r="A498" s="146">
        <v>46197.240694444445</v>
      </c>
      <c r="B498" s="146">
        <v>46196</v>
      </c>
      <c r="C498">
        <v>2228947</v>
      </c>
      <c r="D498" t="s">
        <v>416</v>
      </c>
      <c r="E498" t="s">
        <v>653</v>
      </c>
      <c r="F498" t="s">
        <v>650</v>
      </c>
      <c r="G498" t="s">
        <v>660</v>
      </c>
      <c r="H498" t="s">
        <v>641</v>
      </c>
      <c r="I498" t="s">
        <v>993</v>
      </c>
      <c r="J498">
        <v>2780</v>
      </c>
      <c r="K498" s="141">
        <v>97.022000000000006</v>
      </c>
      <c r="O498" t="s">
        <v>662</v>
      </c>
      <c r="P498">
        <v>0</v>
      </c>
      <c r="Q498" t="s">
        <v>662</v>
      </c>
      <c r="U498">
        <v>42</v>
      </c>
      <c r="W498" t="s">
        <v>958</v>
      </c>
      <c r="X498" t="s">
        <v>883</v>
      </c>
      <c r="Y498" t="s">
        <v>991</v>
      </c>
      <c r="AA498" t="s">
        <v>419</v>
      </c>
      <c r="AB498">
        <v>40</v>
      </c>
      <c r="AK498" t="s">
        <v>642</v>
      </c>
      <c r="AL498" t="s">
        <v>290</v>
      </c>
    </row>
    <row r="499" spans="1:39">
      <c r="A499" s="146">
        <v>46197.466840277775</v>
      </c>
      <c r="B499" s="146">
        <v>46197</v>
      </c>
      <c r="C499">
        <v>2325374</v>
      </c>
      <c r="D499" t="s">
        <v>415</v>
      </c>
      <c r="E499" t="s">
        <v>659</v>
      </c>
      <c r="F499" t="s">
        <v>650</v>
      </c>
      <c r="G499" t="s">
        <v>216</v>
      </c>
      <c r="H499" t="s">
        <v>641</v>
      </c>
      <c r="I499" t="s">
        <v>996</v>
      </c>
      <c r="J499">
        <v>1845</v>
      </c>
      <c r="K499" s="141">
        <v>95.201999999999998</v>
      </c>
      <c r="O499" t="s">
        <v>662</v>
      </c>
      <c r="P499">
        <v>0</v>
      </c>
      <c r="Q499" t="s">
        <v>662</v>
      </c>
      <c r="R499" t="s">
        <v>994</v>
      </c>
      <c r="U499">
        <v>27</v>
      </c>
      <c r="W499" t="s">
        <v>958</v>
      </c>
      <c r="X499" t="s">
        <v>883</v>
      </c>
      <c r="Y499" t="s">
        <v>995</v>
      </c>
      <c r="AA499" t="s">
        <v>419</v>
      </c>
      <c r="AB499">
        <v>40</v>
      </c>
      <c r="AK499" t="s">
        <v>642</v>
      </c>
      <c r="AL499" t="s">
        <v>290</v>
      </c>
    </row>
    <row r="500" spans="1:39">
      <c r="A500" s="146">
        <v>46197.515150462961</v>
      </c>
      <c r="B500" s="146">
        <v>46197</v>
      </c>
      <c r="C500">
        <v>2224358</v>
      </c>
      <c r="D500" t="s">
        <v>417</v>
      </c>
      <c r="E500" t="s">
        <v>659</v>
      </c>
      <c r="F500" t="s">
        <v>650</v>
      </c>
      <c r="G500" t="s">
        <v>230</v>
      </c>
      <c r="H500" t="s">
        <v>641</v>
      </c>
      <c r="I500" t="s">
        <v>1000</v>
      </c>
      <c r="J500">
        <v>3210</v>
      </c>
      <c r="K500" s="141">
        <v>27.927</v>
      </c>
      <c r="O500" t="s">
        <v>997</v>
      </c>
      <c r="P500">
        <v>0</v>
      </c>
      <c r="Q500" t="s">
        <v>997</v>
      </c>
      <c r="R500" t="s">
        <v>998</v>
      </c>
      <c r="U500">
        <v>70</v>
      </c>
      <c r="W500" t="s">
        <v>958</v>
      </c>
      <c r="X500" t="s">
        <v>883</v>
      </c>
      <c r="Y500" t="s">
        <v>999</v>
      </c>
      <c r="AA500" t="s">
        <v>647</v>
      </c>
      <c r="AB500">
        <v>40</v>
      </c>
      <c r="AK500" t="s">
        <v>642</v>
      </c>
      <c r="AL500" t="s">
        <v>290</v>
      </c>
    </row>
    <row r="501" spans="1:39">
      <c r="A501" s="146">
        <v>46197.550138888888</v>
      </c>
      <c r="B501" s="146">
        <v>46197</v>
      </c>
      <c r="C501">
        <v>2325374</v>
      </c>
      <c r="D501" t="s">
        <v>415</v>
      </c>
      <c r="E501" t="s">
        <v>659</v>
      </c>
      <c r="F501" t="s">
        <v>650</v>
      </c>
      <c r="G501" t="s">
        <v>675</v>
      </c>
      <c r="H501" t="s">
        <v>641</v>
      </c>
      <c r="I501" t="s">
        <v>1003</v>
      </c>
      <c r="J501">
        <v>2210</v>
      </c>
      <c r="K501" s="141">
        <v>39.558999999999997</v>
      </c>
      <c r="O501" t="s">
        <v>997</v>
      </c>
      <c r="P501">
        <v>0</v>
      </c>
      <c r="Q501" t="s">
        <v>997</v>
      </c>
      <c r="R501" t="s">
        <v>1001</v>
      </c>
      <c r="U501">
        <v>50</v>
      </c>
      <c r="W501" t="s">
        <v>958</v>
      </c>
      <c r="X501" t="s">
        <v>883</v>
      </c>
      <c r="Y501" t="s">
        <v>1002</v>
      </c>
      <c r="AA501" t="s">
        <v>647</v>
      </c>
      <c r="AB501">
        <v>40</v>
      </c>
      <c r="AK501" t="s">
        <v>642</v>
      </c>
      <c r="AL501" t="s">
        <v>290</v>
      </c>
    </row>
    <row r="502" spans="1:39">
      <c r="A502" s="146">
        <v>46197.550138888888</v>
      </c>
      <c r="B502" s="146">
        <v>46197</v>
      </c>
      <c r="C502">
        <v>2243991</v>
      </c>
      <c r="D502" t="s">
        <v>410</v>
      </c>
      <c r="E502" t="s">
        <v>659</v>
      </c>
      <c r="F502" t="s">
        <v>650</v>
      </c>
      <c r="G502" t="s">
        <v>228</v>
      </c>
      <c r="H502" t="s">
        <v>641</v>
      </c>
      <c r="I502" t="s">
        <v>1004</v>
      </c>
      <c r="J502">
        <v>2245</v>
      </c>
      <c r="K502" s="141">
        <v>32.508000000000003</v>
      </c>
      <c r="O502" t="s">
        <v>651</v>
      </c>
      <c r="P502">
        <v>1</v>
      </c>
      <c r="Q502" t="s">
        <v>651</v>
      </c>
      <c r="U502">
        <v>21</v>
      </c>
      <c r="W502" t="s">
        <v>958</v>
      </c>
      <c r="X502" t="s">
        <v>883</v>
      </c>
      <c r="Y502" t="s">
        <v>987</v>
      </c>
      <c r="AA502" t="s">
        <v>419</v>
      </c>
      <c r="AB502">
        <v>40</v>
      </c>
      <c r="AK502" t="s">
        <v>642</v>
      </c>
      <c r="AL502" t="s">
        <v>59</v>
      </c>
    </row>
    <row r="503" spans="1:39">
      <c r="A503" s="146">
        <v>46197.559444444443</v>
      </c>
      <c r="B503" s="146">
        <v>46197</v>
      </c>
      <c r="C503">
        <v>2325374</v>
      </c>
      <c r="D503" t="s">
        <v>415</v>
      </c>
      <c r="E503" t="s">
        <v>659</v>
      </c>
      <c r="F503" t="s">
        <v>650</v>
      </c>
      <c r="G503" t="s">
        <v>675</v>
      </c>
      <c r="H503" t="s">
        <v>641</v>
      </c>
      <c r="I503" t="s">
        <v>96</v>
      </c>
      <c r="K503" s="141">
        <v>0</v>
      </c>
      <c r="O503" t="s">
        <v>997</v>
      </c>
      <c r="P503">
        <v>0</v>
      </c>
      <c r="Q503" t="s">
        <v>997</v>
      </c>
      <c r="R503" t="s">
        <v>1001</v>
      </c>
      <c r="U503">
        <v>50</v>
      </c>
      <c r="W503" t="s">
        <v>958</v>
      </c>
      <c r="X503" t="s">
        <v>883</v>
      </c>
      <c r="Y503" t="s">
        <v>1005</v>
      </c>
      <c r="AA503" t="s">
        <v>647</v>
      </c>
      <c r="AB503">
        <v>40</v>
      </c>
      <c r="AK503" t="s">
        <v>642</v>
      </c>
      <c r="AL503" t="s">
        <v>290</v>
      </c>
    </row>
    <row r="504" spans="1:39">
      <c r="A504" s="146">
        <v>46197.562303240738</v>
      </c>
      <c r="B504" s="146">
        <v>46197</v>
      </c>
      <c r="C504">
        <v>2020488</v>
      </c>
      <c r="D504" t="s">
        <v>383</v>
      </c>
      <c r="E504" t="s">
        <v>659</v>
      </c>
      <c r="F504" t="s">
        <v>650</v>
      </c>
      <c r="G504" t="s">
        <v>249</v>
      </c>
      <c r="H504" t="s">
        <v>641</v>
      </c>
      <c r="I504" t="s">
        <v>98</v>
      </c>
      <c r="J504">
        <v>13590</v>
      </c>
      <c r="K504" s="141">
        <v>243.261</v>
      </c>
      <c r="O504" t="s">
        <v>997</v>
      </c>
      <c r="P504">
        <v>0</v>
      </c>
      <c r="Q504" t="s">
        <v>997</v>
      </c>
      <c r="U504">
        <v>50</v>
      </c>
      <c r="W504" t="s">
        <v>958</v>
      </c>
      <c r="X504" t="s">
        <v>883</v>
      </c>
      <c r="Y504" t="s">
        <v>1006</v>
      </c>
      <c r="AA504" t="s">
        <v>647</v>
      </c>
      <c r="AB504">
        <v>40</v>
      </c>
      <c r="AK504" t="s">
        <v>642</v>
      </c>
      <c r="AL504" t="s">
        <v>290</v>
      </c>
    </row>
    <row r="505" spans="1:39">
      <c r="A505" s="146">
        <v>46197.733993055554</v>
      </c>
      <c r="B505" s="146">
        <v>46197</v>
      </c>
      <c r="C505">
        <v>2222332</v>
      </c>
      <c r="D505" t="s">
        <v>406</v>
      </c>
      <c r="E505" t="s">
        <v>643</v>
      </c>
      <c r="F505" t="s">
        <v>650</v>
      </c>
      <c r="G505" t="s">
        <v>236</v>
      </c>
      <c r="H505" t="s">
        <v>641</v>
      </c>
      <c r="I505" t="s">
        <v>101</v>
      </c>
      <c r="J505">
        <v>1020</v>
      </c>
      <c r="K505" s="141">
        <v>72.929999999999993</v>
      </c>
      <c r="O505" t="s">
        <v>662</v>
      </c>
      <c r="P505">
        <v>0</v>
      </c>
      <c r="Q505" t="s">
        <v>662</v>
      </c>
      <c r="U505">
        <v>17</v>
      </c>
      <c r="W505" t="s">
        <v>958</v>
      </c>
      <c r="X505" t="s">
        <v>883</v>
      </c>
      <c r="Y505" t="s">
        <v>1007</v>
      </c>
      <c r="AA505" t="s">
        <v>647</v>
      </c>
      <c r="AB505">
        <v>40</v>
      </c>
      <c r="AK505" t="s">
        <v>642</v>
      </c>
      <c r="AL505" t="s">
        <v>290</v>
      </c>
    </row>
    <row r="506" spans="1:39">
      <c r="A506" s="146">
        <v>46197.834999999999</v>
      </c>
      <c r="B506" s="146">
        <v>46197</v>
      </c>
      <c r="C506">
        <v>2223535</v>
      </c>
      <c r="D506" t="s">
        <v>400</v>
      </c>
      <c r="E506" t="s">
        <v>643</v>
      </c>
      <c r="F506" t="s">
        <v>654</v>
      </c>
      <c r="G506" t="s">
        <v>1008</v>
      </c>
      <c r="H506" t="s">
        <v>641</v>
      </c>
      <c r="I506" t="s">
        <v>86</v>
      </c>
      <c r="J506">
        <v>19260</v>
      </c>
      <c r="K506" s="141">
        <v>105.92999999999999</v>
      </c>
      <c r="L506">
        <v>15</v>
      </c>
      <c r="M506">
        <v>2</v>
      </c>
      <c r="N506">
        <v>122.92999999999999</v>
      </c>
      <c r="O506" t="s">
        <v>997</v>
      </c>
      <c r="P506">
        <v>0</v>
      </c>
      <c r="Q506" t="s">
        <v>997</v>
      </c>
      <c r="R506" t="s">
        <v>1009</v>
      </c>
      <c r="S506">
        <v>2.5</v>
      </c>
      <c r="T506">
        <v>8</v>
      </c>
      <c r="U506">
        <v>60</v>
      </c>
      <c r="V506">
        <v>0.66874999999999996</v>
      </c>
      <c r="W506" t="s">
        <v>958</v>
      </c>
      <c r="X506" t="s">
        <v>883</v>
      </c>
      <c r="Y506" t="s">
        <v>1010</v>
      </c>
      <c r="AA506" t="s">
        <v>647</v>
      </c>
      <c r="AB506">
        <v>0</v>
      </c>
      <c r="AI506">
        <v>6</v>
      </c>
      <c r="AJ506">
        <v>19260</v>
      </c>
      <c r="AK506" t="s">
        <v>642</v>
      </c>
      <c r="AL506" t="s">
        <v>290</v>
      </c>
      <c r="AM506">
        <v>2</v>
      </c>
    </row>
    <row r="507" spans="1:39">
      <c r="A507" s="146">
        <v>46197.834999999999</v>
      </c>
      <c r="B507" s="146">
        <v>46197</v>
      </c>
      <c r="C507">
        <v>2223535</v>
      </c>
      <c r="D507" t="s">
        <v>400</v>
      </c>
      <c r="E507" t="s">
        <v>643</v>
      </c>
      <c r="F507" t="s">
        <v>650</v>
      </c>
      <c r="G507" t="s">
        <v>1008</v>
      </c>
      <c r="H507" t="s">
        <v>641</v>
      </c>
      <c r="I507" t="s">
        <v>86</v>
      </c>
      <c r="J507">
        <v>3210</v>
      </c>
      <c r="K507" s="141">
        <v>17.654999999999998</v>
      </c>
      <c r="O507" t="s">
        <v>997</v>
      </c>
      <c r="P507">
        <v>0</v>
      </c>
      <c r="Q507" t="s">
        <v>997</v>
      </c>
      <c r="R507" t="s">
        <v>1009</v>
      </c>
      <c r="U507">
        <v>60</v>
      </c>
      <c r="W507" t="s">
        <v>958</v>
      </c>
      <c r="X507" t="s">
        <v>883</v>
      </c>
      <c r="Y507" t="s">
        <v>1010</v>
      </c>
      <c r="AA507" t="s">
        <v>647</v>
      </c>
      <c r="AB507">
        <v>0</v>
      </c>
      <c r="AK507" t="s">
        <v>642</v>
      </c>
      <c r="AL507" t="s">
        <v>290</v>
      </c>
    </row>
    <row r="508" spans="1:39">
      <c r="A508" s="146">
        <v>46197.847905092596</v>
      </c>
      <c r="B508" s="146">
        <v>46197</v>
      </c>
      <c r="C508">
        <v>2224288</v>
      </c>
      <c r="D508" t="s">
        <v>401</v>
      </c>
      <c r="E508" t="s">
        <v>643</v>
      </c>
      <c r="F508" t="s">
        <v>650</v>
      </c>
      <c r="G508" t="s">
        <v>223</v>
      </c>
      <c r="H508" t="s">
        <v>641</v>
      </c>
      <c r="I508" t="s">
        <v>82</v>
      </c>
      <c r="J508">
        <v>1430</v>
      </c>
      <c r="K508" s="141">
        <v>49.907000000000004</v>
      </c>
      <c r="O508" t="s">
        <v>997</v>
      </c>
      <c r="P508">
        <v>0</v>
      </c>
      <c r="Q508" t="s">
        <v>997</v>
      </c>
      <c r="U508">
        <v>30</v>
      </c>
      <c r="W508" t="s">
        <v>958</v>
      </c>
      <c r="X508" t="s">
        <v>883</v>
      </c>
      <c r="Y508" t="s">
        <v>1011</v>
      </c>
      <c r="AA508" t="s">
        <v>647</v>
      </c>
      <c r="AB508">
        <v>0</v>
      </c>
      <c r="AK508" t="s">
        <v>642</v>
      </c>
      <c r="AL508" t="s">
        <v>290</v>
      </c>
    </row>
    <row r="509" spans="1:39">
      <c r="A509" s="146">
        <v>46197.860381944447</v>
      </c>
      <c r="B509" s="146">
        <v>46197</v>
      </c>
      <c r="C509">
        <v>2241656</v>
      </c>
      <c r="D509" t="s">
        <v>409</v>
      </c>
      <c r="E509" t="s">
        <v>643</v>
      </c>
      <c r="F509" t="s">
        <v>650</v>
      </c>
      <c r="G509" t="s">
        <v>675</v>
      </c>
      <c r="H509" t="s">
        <v>641</v>
      </c>
      <c r="I509" t="s">
        <v>96</v>
      </c>
      <c r="K509" s="141">
        <v>0</v>
      </c>
      <c r="O509" t="s">
        <v>1012</v>
      </c>
      <c r="P509">
        <v>0</v>
      </c>
      <c r="Q509" t="s">
        <v>1012</v>
      </c>
      <c r="U509">
        <v>50</v>
      </c>
      <c r="W509" t="s">
        <v>958</v>
      </c>
      <c r="X509" t="s">
        <v>883</v>
      </c>
      <c r="Y509" t="s">
        <v>1013</v>
      </c>
      <c r="AA509" t="s">
        <v>419</v>
      </c>
      <c r="AB509">
        <v>0</v>
      </c>
      <c r="AK509" t="s">
        <v>642</v>
      </c>
      <c r="AL509" t="s">
        <v>290</v>
      </c>
    </row>
    <row r="510" spans="1:39">
      <c r="A510" s="146">
        <v>46197.884652777779</v>
      </c>
      <c r="B510" s="146">
        <v>46197</v>
      </c>
      <c r="C510">
        <v>2222332</v>
      </c>
      <c r="D510" t="s">
        <v>406</v>
      </c>
      <c r="E510" t="s">
        <v>643</v>
      </c>
      <c r="F510" t="s">
        <v>650</v>
      </c>
      <c r="G510" t="s">
        <v>227</v>
      </c>
      <c r="H510" t="s">
        <v>641</v>
      </c>
      <c r="I510" t="s">
        <v>81</v>
      </c>
      <c r="J510">
        <v>4530</v>
      </c>
      <c r="K510" s="141">
        <v>81.087000000000003</v>
      </c>
      <c r="O510" t="s">
        <v>1012</v>
      </c>
      <c r="P510">
        <v>0</v>
      </c>
      <c r="Q510" t="s">
        <v>1012</v>
      </c>
      <c r="U510">
        <v>47</v>
      </c>
      <c r="W510" t="s">
        <v>958</v>
      </c>
      <c r="X510" t="s">
        <v>883</v>
      </c>
      <c r="Y510" t="s">
        <v>1014</v>
      </c>
      <c r="AA510" t="s">
        <v>419</v>
      </c>
      <c r="AB510">
        <v>0</v>
      </c>
      <c r="AK510" t="s">
        <v>642</v>
      </c>
      <c r="AL510" t="s">
        <v>290</v>
      </c>
    </row>
    <row r="511" spans="1:39">
      <c r="A511" s="146">
        <v>46197.884652777779</v>
      </c>
      <c r="B511" s="146">
        <v>46197</v>
      </c>
      <c r="C511">
        <v>2222332</v>
      </c>
      <c r="D511" t="s">
        <v>406</v>
      </c>
      <c r="E511" t="s">
        <v>643</v>
      </c>
      <c r="F511" t="s">
        <v>650</v>
      </c>
      <c r="G511" t="s">
        <v>227</v>
      </c>
      <c r="H511" t="s">
        <v>641</v>
      </c>
      <c r="I511" t="s">
        <v>90</v>
      </c>
      <c r="J511">
        <v>3020</v>
      </c>
      <c r="K511" s="141">
        <v>60</v>
      </c>
      <c r="O511" t="s">
        <v>1012</v>
      </c>
      <c r="P511">
        <v>0</v>
      </c>
      <c r="Q511" t="s">
        <v>1012</v>
      </c>
      <c r="U511">
        <v>47</v>
      </c>
      <c r="W511" t="s">
        <v>958</v>
      </c>
      <c r="X511" t="s">
        <v>883</v>
      </c>
      <c r="Y511" t="s">
        <v>1014</v>
      </c>
      <c r="AA511" t="s">
        <v>419</v>
      </c>
      <c r="AB511">
        <v>0</v>
      </c>
      <c r="AK511" t="s">
        <v>642</v>
      </c>
      <c r="AL511" t="s">
        <v>290</v>
      </c>
    </row>
    <row r="512" spans="1:39">
      <c r="A512" s="146">
        <v>46197.894224537034</v>
      </c>
      <c r="B512" s="146">
        <v>46197</v>
      </c>
      <c r="C512">
        <v>2226596</v>
      </c>
      <c r="D512" t="s">
        <v>403</v>
      </c>
      <c r="E512" t="s">
        <v>643</v>
      </c>
      <c r="F512" t="s">
        <v>650</v>
      </c>
      <c r="G512" t="s">
        <v>227</v>
      </c>
      <c r="H512" t="s">
        <v>641</v>
      </c>
      <c r="I512" t="s">
        <v>89</v>
      </c>
      <c r="J512">
        <v>1510</v>
      </c>
      <c r="K512" s="141">
        <v>30</v>
      </c>
      <c r="O512" t="s">
        <v>1012</v>
      </c>
      <c r="P512">
        <v>0</v>
      </c>
      <c r="Q512" t="s">
        <v>1012</v>
      </c>
      <c r="R512" t="s">
        <v>1015</v>
      </c>
      <c r="U512">
        <v>45</v>
      </c>
      <c r="W512" t="s">
        <v>958</v>
      </c>
      <c r="X512" t="s">
        <v>883</v>
      </c>
      <c r="Y512" t="s">
        <v>1016</v>
      </c>
      <c r="AA512" t="s">
        <v>419</v>
      </c>
      <c r="AB512">
        <v>0</v>
      </c>
      <c r="AK512" t="s">
        <v>642</v>
      </c>
      <c r="AL512" t="s">
        <v>290</v>
      </c>
    </row>
    <row r="513" spans="1:39">
      <c r="A513" s="146">
        <v>46197.894224537034</v>
      </c>
      <c r="B513" s="146">
        <v>46197</v>
      </c>
      <c r="C513">
        <v>2226596</v>
      </c>
      <c r="D513" t="s">
        <v>403</v>
      </c>
      <c r="E513" t="s">
        <v>643</v>
      </c>
      <c r="F513" t="s">
        <v>650</v>
      </c>
      <c r="G513" t="s">
        <v>228</v>
      </c>
      <c r="H513" t="s">
        <v>641</v>
      </c>
      <c r="I513" t="s">
        <v>88</v>
      </c>
      <c r="J513">
        <v>1230</v>
      </c>
      <c r="K513" s="141">
        <v>62.22</v>
      </c>
      <c r="O513" t="s">
        <v>665</v>
      </c>
      <c r="P513">
        <v>1</v>
      </c>
      <c r="Q513" t="s">
        <v>665</v>
      </c>
      <c r="R513" t="s">
        <v>1017</v>
      </c>
      <c r="U513">
        <v>21</v>
      </c>
      <c r="W513" t="s">
        <v>958</v>
      </c>
      <c r="X513" t="s">
        <v>883</v>
      </c>
      <c r="Y513" t="s">
        <v>1016</v>
      </c>
      <c r="AA513" t="s">
        <v>419</v>
      </c>
      <c r="AB513">
        <v>0</v>
      </c>
      <c r="AK513" t="s">
        <v>642</v>
      </c>
      <c r="AL513" t="s">
        <v>290</v>
      </c>
    </row>
    <row r="514" spans="1:39">
      <c r="A514" s="146">
        <v>46198.204340277778</v>
      </c>
      <c r="B514" s="146">
        <v>46197</v>
      </c>
      <c r="C514">
        <v>2221908</v>
      </c>
      <c r="D514" t="s">
        <v>398</v>
      </c>
      <c r="E514" t="s">
        <v>653</v>
      </c>
      <c r="F514" t="s">
        <v>650</v>
      </c>
      <c r="G514" t="s">
        <v>228</v>
      </c>
      <c r="H514" t="s">
        <v>641</v>
      </c>
      <c r="I514" t="s">
        <v>1020</v>
      </c>
      <c r="J514">
        <v>1610</v>
      </c>
      <c r="K514" s="141">
        <v>83.075999999999993</v>
      </c>
      <c r="O514" t="s">
        <v>651</v>
      </c>
      <c r="P514">
        <v>1</v>
      </c>
      <c r="Q514" t="s">
        <v>651</v>
      </c>
      <c r="U514">
        <v>21</v>
      </c>
      <c r="W514" t="s">
        <v>958</v>
      </c>
      <c r="X514" t="s">
        <v>883</v>
      </c>
      <c r="Y514" t="s">
        <v>1019</v>
      </c>
      <c r="AA514" t="s">
        <v>652</v>
      </c>
      <c r="AB514">
        <v>0</v>
      </c>
      <c r="AK514" t="s">
        <v>642</v>
      </c>
      <c r="AL514" t="s">
        <v>59</v>
      </c>
    </row>
    <row r="515" spans="1:39">
      <c r="A515" s="146">
        <v>46198.230740740742</v>
      </c>
      <c r="B515" s="146">
        <v>46197</v>
      </c>
      <c r="C515">
        <v>2325295</v>
      </c>
      <c r="D515" t="s">
        <v>411</v>
      </c>
      <c r="E515" t="s">
        <v>653</v>
      </c>
      <c r="F515" t="s">
        <v>654</v>
      </c>
      <c r="G515" t="s">
        <v>216</v>
      </c>
      <c r="H515" t="s">
        <v>641</v>
      </c>
      <c r="I515" t="s">
        <v>93</v>
      </c>
      <c r="J515">
        <v>1650</v>
      </c>
      <c r="K515" s="141">
        <v>85.14</v>
      </c>
      <c r="M515">
        <v>0</v>
      </c>
      <c r="N515">
        <v>95.14</v>
      </c>
      <c r="O515" t="s">
        <v>651</v>
      </c>
      <c r="P515">
        <v>1</v>
      </c>
      <c r="Q515" t="s">
        <v>651</v>
      </c>
      <c r="S515">
        <v>0</v>
      </c>
      <c r="T515">
        <v>1</v>
      </c>
      <c r="U515">
        <v>27</v>
      </c>
      <c r="V515">
        <v>1.0185185185185186</v>
      </c>
      <c r="W515" t="s">
        <v>958</v>
      </c>
      <c r="X515" t="s">
        <v>883</v>
      </c>
      <c r="Y515" t="s">
        <v>1021</v>
      </c>
      <c r="AA515" t="s">
        <v>652</v>
      </c>
      <c r="AB515">
        <v>0</v>
      </c>
      <c r="AG515">
        <v>1</v>
      </c>
      <c r="AH515">
        <v>1650</v>
      </c>
      <c r="AK515" t="s">
        <v>642</v>
      </c>
      <c r="AL515" t="s">
        <v>290</v>
      </c>
      <c r="AM515">
        <v>2</v>
      </c>
    </row>
    <row r="516" spans="1:39">
      <c r="A516" s="146">
        <v>46198.23333333333</v>
      </c>
      <c r="B516" s="146">
        <v>46197</v>
      </c>
      <c r="C516">
        <v>2325295</v>
      </c>
      <c r="D516" t="s">
        <v>411</v>
      </c>
      <c r="E516" t="s">
        <v>653</v>
      </c>
      <c r="F516" t="s">
        <v>654</v>
      </c>
      <c r="G516" t="s">
        <v>248</v>
      </c>
      <c r="H516" t="s">
        <v>641</v>
      </c>
      <c r="I516" t="s">
        <v>93</v>
      </c>
      <c r="J516">
        <v>1845</v>
      </c>
      <c r="K516" s="141">
        <v>63</v>
      </c>
      <c r="M516">
        <v>0</v>
      </c>
      <c r="N516">
        <v>136.93600000000001</v>
      </c>
      <c r="O516" t="s">
        <v>651</v>
      </c>
      <c r="P516">
        <v>1</v>
      </c>
      <c r="Q516" t="s">
        <v>651</v>
      </c>
      <c r="S516">
        <v>0</v>
      </c>
      <c r="T516">
        <v>1.5</v>
      </c>
      <c r="U516">
        <v>27</v>
      </c>
      <c r="V516">
        <v>1.0123456790123457</v>
      </c>
      <c r="W516" t="s">
        <v>958</v>
      </c>
      <c r="X516" t="s">
        <v>883</v>
      </c>
      <c r="Y516" t="s">
        <v>1022</v>
      </c>
      <c r="AA516" t="s">
        <v>652</v>
      </c>
      <c r="AB516">
        <v>0</v>
      </c>
      <c r="AG516">
        <v>2</v>
      </c>
      <c r="AH516">
        <v>2460</v>
      </c>
      <c r="AK516" t="s">
        <v>642</v>
      </c>
      <c r="AL516" t="s">
        <v>290</v>
      </c>
      <c r="AM516">
        <v>2</v>
      </c>
    </row>
    <row r="517" spans="1:39">
      <c r="A517" s="146">
        <v>46198.23333333333</v>
      </c>
      <c r="B517" s="146">
        <v>46197</v>
      </c>
      <c r="C517">
        <v>2325295</v>
      </c>
      <c r="D517" t="s">
        <v>411</v>
      </c>
      <c r="E517" t="s">
        <v>653</v>
      </c>
      <c r="F517" t="s">
        <v>650</v>
      </c>
      <c r="G517" t="s">
        <v>248</v>
      </c>
      <c r="H517" t="s">
        <v>641</v>
      </c>
      <c r="I517" t="s">
        <v>93</v>
      </c>
      <c r="J517">
        <v>1230</v>
      </c>
      <c r="K517" s="141">
        <v>63</v>
      </c>
      <c r="M517">
        <v>0</v>
      </c>
      <c r="N517">
        <v>136.93600000000001</v>
      </c>
      <c r="O517" t="s">
        <v>651</v>
      </c>
      <c r="P517">
        <v>1</v>
      </c>
      <c r="Q517" t="s">
        <v>651</v>
      </c>
      <c r="S517">
        <v>0</v>
      </c>
      <c r="T517">
        <v>1.5</v>
      </c>
      <c r="U517">
        <v>27</v>
      </c>
      <c r="V517">
        <v>1.0123456790123457</v>
      </c>
      <c r="W517" t="s">
        <v>958</v>
      </c>
      <c r="X517" t="s">
        <v>883</v>
      </c>
      <c r="Y517" t="s">
        <v>1022</v>
      </c>
      <c r="AA517" t="s">
        <v>652</v>
      </c>
      <c r="AB517">
        <v>0</v>
      </c>
      <c r="AG517">
        <v>2</v>
      </c>
      <c r="AH517">
        <v>2460</v>
      </c>
      <c r="AK517" t="s">
        <v>642</v>
      </c>
      <c r="AL517" t="s">
        <v>290</v>
      </c>
      <c r="AM517">
        <v>2</v>
      </c>
    </row>
    <row r="518" spans="1:39">
      <c r="A518" s="146">
        <v>46198.239699074074</v>
      </c>
      <c r="B518" s="146">
        <v>46197</v>
      </c>
      <c r="C518">
        <v>2325365</v>
      </c>
      <c r="D518" t="s">
        <v>414</v>
      </c>
      <c r="E518" t="s">
        <v>653</v>
      </c>
      <c r="F518" t="s">
        <v>654</v>
      </c>
      <c r="G518" t="s">
        <v>223</v>
      </c>
      <c r="H518" t="s">
        <v>641</v>
      </c>
      <c r="I518" t="s">
        <v>82</v>
      </c>
      <c r="J518">
        <v>0</v>
      </c>
      <c r="K518" s="141">
        <v>0</v>
      </c>
      <c r="L518">
        <v>10</v>
      </c>
      <c r="M518">
        <v>0</v>
      </c>
      <c r="N518">
        <v>10</v>
      </c>
      <c r="O518" t="s">
        <v>651</v>
      </c>
      <c r="P518">
        <v>1</v>
      </c>
      <c r="Q518" t="s">
        <v>651</v>
      </c>
      <c r="S518">
        <v>4</v>
      </c>
      <c r="T518">
        <v>4</v>
      </c>
      <c r="U518">
        <v>30</v>
      </c>
      <c r="V518">
        <v>0</v>
      </c>
      <c r="W518" t="s">
        <v>958</v>
      </c>
      <c r="X518" t="s">
        <v>883</v>
      </c>
      <c r="Y518" t="s">
        <v>1023</v>
      </c>
      <c r="AA518" t="s">
        <v>652</v>
      </c>
      <c r="AB518">
        <v>0</v>
      </c>
      <c r="AK518" t="s">
        <v>642</v>
      </c>
      <c r="AL518" t="s">
        <v>290</v>
      </c>
      <c r="AM518">
        <v>2</v>
      </c>
    </row>
    <row r="519" spans="1:39">
      <c r="A519" s="146">
        <v>46198.239699074074</v>
      </c>
      <c r="B519" s="146">
        <v>46197</v>
      </c>
      <c r="C519">
        <v>2325365</v>
      </c>
      <c r="D519" t="s">
        <v>414</v>
      </c>
      <c r="E519" t="s">
        <v>653</v>
      </c>
      <c r="F519" t="s">
        <v>650</v>
      </c>
      <c r="G519" t="s">
        <v>223</v>
      </c>
      <c r="H519" t="s">
        <v>641</v>
      </c>
      <c r="I519" t="s">
        <v>1024</v>
      </c>
      <c r="J519">
        <v>7440</v>
      </c>
      <c r="K519" s="141">
        <v>259.65600000000001</v>
      </c>
      <c r="O519" t="s">
        <v>651</v>
      </c>
      <c r="P519">
        <v>1</v>
      </c>
      <c r="Q519" t="s">
        <v>651</v>
      </c>
      <c r="U519">
        <v>30</v>
      </c>
      <c r="W519" t="s">
        <v>958</v>
      </c>
      <c r="X519" t="s">
        <v>883</v>
      </c>
      <c r="Y519" t="s">
        <v>1023</v>
      </c>
      <c r="AA519" t="s">
        <v>652</v>
      </c>
      <c r="AB519">
        <v>0</v>
      </c>
      <c r="AK519" t="s">
        <v>642</v>
      </c>
      <c r="AL519" t="s">
        <v>290</v>
      </c>
    </row>
    <row r="520" spans="1:39">
      <c r="A520" s="146">
        <v>46198.247939814813</v>
      </c>
      <c r="B520" s="146">
        <v>46197</v>
      </c>
      <c r="C520">
        <v>2325295</v>
      </c>
      <c r="D520" t="s">
        <v>411</v>
      </c>
      <c r="E520" t="s">
        <v>653</v>
      </c>
      <c r="F520" t="s">
        <v>650</v>
      </c>
      <c r="G520" t="s">
        <v>216</v>
      </c>
      <c r="H520" t="s">
        <v>641</v>
      </c>
      <c r="I520" t="s">
        <v>93</v>
      </c>
      <c r="J520">
        <v>2460</v>
      </c>
      <c r="K520" s="141">
        <v>126.93600000000001</v>
      </c>
      <c r="O520" t="s">
        <v>651</v>
      </c>
      <c r="P520">
        <v>1</v>
      </c>
      <c r="Q520" t="s">
        <v>651</v>
      </c>
      <c r="U520">
        <v>27</v>
      </c>
      <c r="W520" t="s">
        <v>958</v>
      </c>
      <c r="X520" t="s">
        <v>883</v>
      </c>
      <c r="Y520" t="s">
        <v>1025</v>
      </c>
      <c r="AA520" t="s">
        <v>652</v>
      </c>
      <c r="AB520">
        <v>0</v>
      </c>
      <c r="AK520" t="s">
        <v>642</v>
      </c>
      <c r="AL520" t="s">
        <v>290</v>
      </c>
    </row>
    <row r="521" spans="1:39">
      <c r="A521" s="146">
        <v>46198.250138888892</v>
      </c>
      <c r="B521" s="146">
        <v>46197</v>
      </c>
      <c r="C521">
        <v>2020965</v>
      </c>
      <c r="D521" t="s">
        <v>386</v>
      </c>
      <c r="E521" t="s">
        <v>653</v>
      </c>
      <c r="F521" t="s">
        <v>654</v>
      </c>
      <c r="G521" t="s">
        <v>216</v>
      </c>
      <c r="H521" t="s">
        <v>641</v>
      </c>
      <c r="I521" t="s">
        <v>95</v>
      </c>
      <c r="J521">
        <v>1230</v>
      </c>
      <c r="K521" s="141">
        <v>126.93600000000001</v>
      </c>
      <c r="O521" t="s">
        <v>1026</v>
      </c>
      <c r="P521">
        <v>0</v>
      </c>
      <c r="Q521" t="s">
        <v>1026</v>
      </c>
      <c r="U521">
        <v>27</v>
      </c>
      <c r="W521" t="s">
        <v>958</v>
      </c>
      <c r="X521" t="s">
        <v>883</v>
      </c>
      <c r="Y521" t="s">
        <v>1027</v>
      </c>
      <c r="AA521" t="s">
        <v>419</v>
      </c>
      <c r="AB521">
        <v>0</v>
      </c>
      <c r="AK521" t="s">
        <v>642</v>
      </c>
      <c r="AL521" t="s">
        <v>290</v>
      </c>
    </row>
    <row r="522" spans="1:39">
      <c r="A522" s="146">
        <v>46198.261620370373</v>
      </c>
      <c r="B522" s="146">
        <v>46197</v>
      </c>
      <c r="C522">
        <v>2022158</v>
      </c>
      <c r="D522" t="s">
        <v>394</v>
      </c>
      <c r="E522" t="s">
        <v>653</v>
      </c>
      <c r="F522" t="s">
        <v>654</v>
      </c>
      <c r="G522" t="s">
        <v>236</v>
      </c>
      <c r="H522" t="s">
        <v>641</v>
      </c>
      <c r="I522" t="s">
        <v>101</v>
      </c>
      <c r="J522">
        <v>0</v>
      </c>
      <c r="K522" s="141">
        <v>0</v>
      </c>
      <c r="L522">
        <v>0</v>
      </c>
      <c r="M522">
        <v>0</v>
      </c>
      <c r="N522">
        <v>0</v>
      </c>
      <c r="O522" t="s">
        <v>1026</v>
      </c>
      <c r="P522">
        <v>0</v>
      </c>
      <c r="Q522" t="s">
        <v>1026</v>
      </c>
      <c r="S522">
        <v>2.4666666666666668</v>
      </c>
      <c r="T522">
        <v>2.5</v>
      </c>
      <c r="U522">
        <v>17</v>
      </c>
      <c r="V522">
        <v>0</v>
      </c>
      <c r="W522" t="s">
        <v>958</v>
      </c>
      <c r="X522" t="s">
        <v>883</v>
      </c>
      <c r="Y522" t="s">
        <v>1028</v>
      </c>
      <c r="AA522" t="s">
        <v>419</v>
      </c>
      <c r="AB522">
        <v>0</v>
      </c>
      <c r="AK522" t="s">
        <v>642</v>
      </c>
      <c r="AL522" t="s">
        <v>290</v>
      </c>
      <c r="AM522">
        <v>3</v>
      </c>
    </row>
    <row r="523" spans="1:39">
      <c r="A523" s="146">
        <v>46198.261620370373</v>
      </c>
      <c r="B523" s="146">
        <v>46197</v>
      </c>
      <c r="C523">
        <v>2022158</v>
      </c>
      <c r="D523" t="s">
        <v>394</v>
      </c>
      <c r="E523" t="s">
        <v>653</v>
      </c>
      <c r="F523" t="s">
        <v>650</v>
      </c>
      <c r="G523" t="s">
        <v>236</v>
      </c>
      <c r="H523" t="s">
        <v>641</v>
      </c>
      <c r="I523" t="s">
        <v>1029</v>
      </c>
      <c r="J523">
        <v>2530</v>
      </c>
      <c r="K523" s="141">
        <v>180.89499999999998</v>
      </c>
      <c r="O523" t="s">
        <v>1026</v>
      </c>
      <c r="P523">
        <v>0</v>
      </c>
      <c r="Q523" t="s">
        <v>1026</v>
      </c>
      <c r="U523">
        <v>17</v>
      </c>
      <c r="W523" t="s">
        <v>958</v>
      </c>
      <c r="X523" t="s">
        <v>883</v>
      </c>
      <c r="Y523" t="s">
        <v>1028</v>
      </c>
      <c r="AA523" t="s">
        <v>419</v>
      </c>
      <c r="AB523">
        <v>0</v>
      </c>
      <c r="AK523" t="s">
        <v>642</v>
      </c>
      <c r="AL523" t="s">
        <v>290</v>
      </c>
    </row>
    <row r="524" spans="1:39">
      <c r="A524" s="146">
        <v>46198.541354166664</v>
      </c>
      <c r="B524" s="146">
        <v>46197</v>
      </c>
      <c r="C524">
        <v>2224358</v>
      </c>
      <c r="D524" t="s">
        <v>417</v>
      </c>
      <c r="E524" t="s">
        <v>659</v>
      </c>
      <c r="F524" t="s">
        <v>650</v>
      </c>
      <c r="G524" t="s">
        <v>223</v>
      </c>
      <c r="H524" t="s">
        <v>641</v>
      </c>
      <c r="I524" t="s">
        <v>94</v>
      </c>
      <c r="J524">
        <v>1860</v>
      </c>
      <c r="K524" s="141">
        <v>64.914000000000001</v>
      </c>
      <c r="O524" t="s">
        <v>1026</v>
      </c>
      <c r="P524">
        <v>0</v>
      </c>
      <c r="Q524" t="s">
        <v>1026</v>
      </c>
      <c r="R524" t="s">
        <v>1030</v>
      </c>
      <c r="U524">
        <v>42</v>
      </c>
      <c r="W524" t="s">
        <v>958</v>
      </c>
      <c r="X524" t="s">
        <v>883</v>
      </c>
      <c r="Y524" t="s">
        <v>1031</v>
      </c>
      <c r="AA524" t="s">
        <v>419</v>
      </c>
      <c r="AB524">
        <v>10</v>
      </c>
      <c r="AK524" t="s">
        <v>642</v>
      </c>
      <c r="AL524" t="s">
        <v>290</v>
      </c>
    </row>
    <row r="525" spans="1:39">
      <c r="A525" s="146">
        <v>46198.57271990741</v>
      </c>
      <c r="B525" s="146">
        <v>46198</v>
      </c>
      <c r="C525">
        <v>2325374</v>
      </c>
      <c r="D525" t="s">
        <v>415</v>
      </c>
      <c r="E525" t="s">
        <v>659</v>
      </c>
      <c r="F525" t="s">
        <v>650</v>
      </c>
      <c r="G525" t="s">
        <v>469</v>
      </c>
      <c r="H525" t="s">
        <v>641</v>
      </c>
      <c r="I525" t="s">
        <v>96</v>
      </c>
      <c r="J525">
        <v>2210</v>
      </c>
      <c r="K525" s="141">
        <v>44.420999999999999</v>
      </c>
      <c r="O525" t="s">
        <v>952</v>
      </c>
      <c r="P525">
        <v>0</v>
      </c>
      <c r="Q525" t="s">
        <v>952</v>
      </c>
      <c r="R525" t="s">
        <v>1032</v>
      </c>
      <c r="U525">
        <v>45</v>
      </c>
      <c r="W525" t="s">
        <v>958</v>
      </c>
      <c r="X525" t="s">
        <v>883</v>
      </c>
      <c r="Y525" t="s">
        <v>1033</v>
      </c>
      <c r="AA525" t="s">
        <v>647</v>
      </c>
      <c r="AB525">
        <v>10</v>
      </c>
      <c r="AK525" t="s">
        <v>642</v>
      </c>
      <c r="AL525" t="s">
        <v>290</v>
      </c>
    </row>
    <row r="526" spans="1:39">
      <c r="A526" s="146">
        <v>46198.573298611111</v>
      </c>
      <c r="B526" s="146">
        <v>46198</v>
      </c>
      <c r="C526">
        <v>2243991</v>
      </c>
      <c r="D526" t="s">
        <v>410</v>
      </c>
      <c r="E526" t="s">
        <v>659</v>
      </c>
      <c r="F526" t="s">
        <v>650</v>
      </c>
      <c r="G526" t="s">
        <v>228</v>
      </c>
      <c r="H526" t="s">
        <v>641</v>
      </c>
      <c r="I526" t="s">
        <v>88</v>
      </c>
      <c r="J526">
        <v>615</v>
      </c>
      <c r="K526" s="141">
        <v>31.734000000000002</v>
      </c>
      <c r="O526" t="s">
        <v>952</v>
      </c>
      <c r="P526">
        <v>0</v>
      </c>
      <c r="Q526" t="s">
        <v>952</v>
      </c>
      <c r="U526">
        <v>21</v>
      </c>
      <c r="W526" t="s">
        <v>958</v>
      </c>
      <c r="X526" t="s">
        <v>883</v>
      </c>
      <c r="Y526" t="s">
        <v>1034</v>
      </c>
      <c r="AA526" t="s">
        <v>647</v>
      </c>
      <c r="AB526">
        <v>10</v>
      </c>
      <c r="AK526" t="s">
        <v>642</v>
      </c>
      <c r="AL526" t="s">
        <v>59</v>
      </c>
    </row>
    <row r="527" spans="1:39">
      <c r="A527" s="146">
        <v>46198.574050925927</v>
      </c>
      <c r="B527" s="146">
        <v>46198</v>
      </c>
      <c r="C527">
        <v>2243991</v>
      </c>
      <c r="D527" t="s">
        <v>410</v>
      </c>
      <c r="E527" t="s">
        <v>659</v>
      </c>
      <c r="F527" t="s">
        <v>650</v>
      </c>
      <c r="G527" t="s">
        <v>227</v>
      </c>
      <c r="H527" t="s">
        <v>641</v>
      </c>
      <c r="I527" t="s">
        <v>1036</v>
      </c>
      <c r="J527">
        <v>4530</v>
      </c>
      <c r="K527" s="141">
        <v>81.087000000000003</v>
      </c>
      <c r="O527" t="s">
        <v>952</v>
      </c>
      <c r="P527">
        <v>0</v>
      </c>
      <c r="Q527" t="s">
        <v>952</v>
      </c>
      <c r="U527">
        <v>45</v>
      </c>
      <c r="W527" t="s">
        <v>958</v>
      </c>
      <c r="X527" t="s">
        <v>883</v>
      </c>
      <c r="Y527" t="s">
        <v>1035</v>
      </c>
      <c r="AA527" t="s">
        <v>647</v>
      </c>
      <c r="AB527">
        <v>10</v>
      </c>
      <c r="AK527" t="s">
        <v>642</v>
      </c>
      <c r="AL527" t="s">
        <v>290</v>
      </c>
    </row>
    <row r="528" spans="1:39">
      <c r="A528" s="146">
        <v>46198.798645833333</v>
      </c>
      <c r="B528" s="146">
        <v>46198</v>
      </c>
      <c r="C528">
        <v>2224288</v>
      </c>
      <c r="D528" t="s">
        <v>401</v>
      </c>
      <c r="E528" t="s">
        <v>643</v>
      </c>
      <c r="F528" t="s">
        <v>650</v>
      </c>
      <c r="G528" t="s">
        <v>222</v>
      </c>
      <c r="H528" t="s">
        <v>641</v>
      </c>
      <c r="I528" t="s">
        <v>98</v>
      </c>
      <c r="J528">
        <v>4530</v>
      </c>
      <c r="K528" s="141">
        <v>81.087000000000003</v>
      </c>
      <c r="O528" t="s">
        <v>952</v>
      </c>
      <c r="P528">
        <v>0</v>
      </c>
      <c r="Q528" t="s">
        <v>952</v>
      </c>
      <c r="U528">
        <v>50</v>
      </c>
      <c r="W528" t="s">
        <v>958</v>
      </c>
      <c r="X528" t="s">
        <v>883</v>
      </c>
      <c r="Y528" t="s">
        <v>1037</v>
      </c>
      <c r="AA528" t="s">
        <v>647</v>
      </c>
      <c r="AB528">
        <v>10</v>
      </c>
      <c r="AK528" t="s">
        <v>642</v>
      </c>
      <c r="AL528" t="s">
        <v>290</v>
      </c>
    </row>
    <row r="529" spans="1:38">
      <c r="A529" s="146">
        <v>46198.826180555552</v>
      </c>
      <c r="B529" s="146">
        <v>46198</v>
      </c>
      <c r="C529">
        <v>2223535</v>
      </c>
      <c r="D529" t="s">
        <v>400</v>
      </c>
      <c r="E529" t="s">
        <v>643</v>
      </c>
      <c r="F529" t="s">
        <v>650</v>
      </c>
      <c r="G529" t="s">
        <v>230</v>
      </c>
      <c r="H529" t="s">
        <v>641</v>
      </c>
      <c r="I529" t="s">
        <v>86</v>
      </c>
      <c r="J529">
        <v>3210</v>
      </c>
      <c r="K529" s="141">
        <v>27.927</v>
      </c>
      <c r="O529" t="s">
        <v>952</v>
      </c>
      <c r="P529">
        <v>0</v>
      </c>
      <c r="Q529" t="s">
        <v>952</v>
      </c>
      <c r="U529">
        <v>60</v>
      </c>
      <c r="W529" t="s">
        <v>958</v>
      </c>
      <c r="X529" t="s">
        <v>883</v>
      </c>
      <c r="Y529" t="s">
        <v>1038</v>
      </c>
      <c r="AA529" t="s">
        <v>647</v>
      </c>
      <c r="AB529">
        <v>10</v>
      </c>
      <c r="AK529" t="s">
        <v>642</v>
      </c>
      <c r="AL529" t="s">
        <v>290</v>
      </c>
    </row>
    <row r="530" spans="1:38">
      <c r="A530" s="146">
        <v>46198.827534722222</v>
      </c>
      <c r="B530" s="146">
        <v>46198</v>
      </c>
      <c r="C530">
        <v>2223535</v>
      </c>
      <c r="D530" t="s">
        <v>400</v>
      </c>
      <c r="E530" t="s">
        <v>643</v>
      </c>
      <c r="F530" t="s">
        <v>650</v>
      </c>
      <c r="G530" t="s">
        <v>229</v>
      </c>
      <c r="H530" t="s">
        <v>641</v>
      </c>
      <c r="I530" t="s">
        <v>97</v>
      </c>
      <c r="J530">
        <v>1020</v>
      </c>
      <c r="K530" s="141">
        <v>72.929999999999993</v>
      </c>
      <c r="O530" t="s">
        <v>1039</v>
      </c>
      <c r="P530">
        <v>0</v>
      </c>
      <c r="Q530" t="s">
        <v>1039</v>
      </c>
      <c r="R530" t="s">
        <v>1040</v>
      </c>
      <c r="U530">
        <v>17</v>
      </c>
      <c r="W530" t="s">
        <v>958</v>
      </c>
      <c r="X530" t="s">
        <v>883</v>
      </c>
      <c r="Y530" t="s">
        <v>1041</v>
      </c>
      <c r="AA530" t="s">
        <v>419</v>
      </c>
      <c r="AB530">
        <v>0</v>
      </c>
      <c r="AK530" t="s">
        <v>642</v>
      </c>
      <c r="AL530" t="s">
        <v>290</v>
      </c>
    </row>
    <row r="531" spans="1:38">
      <c r="A531" s="146">
        <v>46198.873356481483</v>
      </c>
      <c r="B531" s="146">
        <v>46198</v>
      </c>
      <c r="C531">
        <v>2222332</v>
      </c>
      <c r="D531" t="s">
        <v>406</v>
      </c>
      <c r="E531" t="s">
        <v>643</v>
      </c>
      <c r="F531" t="s">
        <v>650</v>
      </c>
      <c r="G531" t="s">
        <v>224</v>
      </c>
      <c r="H531" t="s">
        <v>641</v>
      </c>
      <c r="I531" t="s">
        <v>81</v>
      </c>
      <c r="J531">
        <v>3020</v>
      </c>
      <c r="K531" s="141">
        <v>54.058</v>
      </c>
      <c r="O531" t="s">
        <v>1039</v>
      </c>
      <c r="P531">
        <v>0</v>
      </c>
      <c r="Q531" t="s">
        <v>1039</v>
      </c>
      <c r="U531">
        <v>47</v>
      </c>
      <c r="W531" t="s">
        <v>958</v>
      </c>
      <c r="X531" t="s">
        <v>883</v>
      </c>
      <c r="Y531" t="s">
        <v>1042</v>
      </c>
      <c r="AA531" t="s">
        <v>419</v>
      </c>
      <c r="AB531">
        <v>0</v>
      </c>
      <c r="AK531" t="s">
        <v>642</v>
      </c>
      <c r="AL531" t="s">
        <v>59</v>
      </c>
    </row>
    <row r="532" spans="1:38">
      <c r="A532" s="146">
        <v>46198.874027777776</v>
      </c>
      <c r="B532" s="146">
        <v>46198</v>
      </c>
      <c r="C532">
        <v>2222332</v>
      </c>
      <c r="D532" t="s">
        <v>406</v>
      </c>
      <c r="E532" t="s">
        <v>643</v>
      </c>
      <c r="F532" t="s">
        <v>650</v>
      </c>
      <c r="G532" t="s">
        <v>229</v>
      </c>
      <c r="H532" t="s">
        <v>641</v>
      </c>
      <c r="I532" t="s">
        <v>101</v>
      </c>
      <c r="J532">
        <v>1020</v>
      </c>
      <c r="K532" s="141">
        <v>72.929999999999993</v>
      </c>
      <c r="O532" t="s">
        <v>1039</v>
      </c>
      <c r="P532">
        <v>0</v>
      </c>
      <c r="Q532" t="s">
        <v>1039</v>
      </c>
      <c r="U532">
        <v>17</v>
      </c>
      <c r="W532" t="s">
        <v>958</v>
      </c>
      <c r="X532" t="s">
        <v>883</v>
      </c>
      <c r="Y532" t="s">
        <v>1043</v>
      </c>
      <c r="AA532" t="s">
        <v>419</v>
      </c>
      <c r="AB532">
        <v>0</v>
      </c>
      <c r="AK532" t="s">
        <v>642</v>
      </c>
      <c r="AL532" t="s">
        <v>290</v>
      </c>
    </row>
    <row r="533" spans="1:38">
      <c r="A533" s="146">
        <v>46198.885949074072</v>
      </c>
      <c r="B533" s="146">
        <v>46198</v>
      </c>
      <c r="C533">
        <v>2021645</v>
      </c>
      <c r="D533" t="s">
        <v>629</v>
      </c>
      <c r="E533" t="s">
        <v>643</v>
      </c>
      <c r="F533" t="s">
        <v>650</v>
      </c>
      <c r="G533" t="s">
        <v>223</v>
      </c>
      <c r="H533" t="s">
        <v>641</v>
      </c>
      <c r="I533" t="s">
        <v>94</v>
      </c>
      <c r="K533" s="141">
        <v>0</v>
      </c>
      <c r="O533" t="s">
        <v>1039</v>
      </c>
      <c r="P533">
        <v>0</v>
      </c>
      <c r="Q533" t="s">
        <v>1039</v>
      </c>
      <c r="U533">
        <v>42</v>
      </c>
      <c r="W533" t="s">
        <v>958</v>
      </c>
      <c r="X533" t="s">
        <v>883</v>
      </c>
      <c r="Y533" t="s">
        <v>1044</v>
      </c>
      <c r="AA533" t="s">
        <v>419</v>
      </c>
      <c r="AB533">
        <v>0</v>
      </c>
      <c r="AK533" t="s">
        <v>642</v>
      </c>
      <c r="AL533" t="s">
        <v>290</v>
      </c>
    </row>
    <row r="534" spans="1:38">
      <c r="A534" s="146">
        <v>46198.886631944442</v>
      </c>
      <c r="B534" s="146">
        <v>46198</v>
      </c>
      <c r="C534">
        <v>2021645</v>
      </c>
      <c r="D534" t="s">
        <v>629</v>
      </c>
      <c r="E534" t="s">
        <v>643</v>
      </c>
      <c r="F534" t="s">
        <v>650</v>
      </c>
      <c r="G534" t="s">
        <v>230</v>
      </c>
      <c r="H534" t="s">
        <v>641</v>
      </c>
      <c r="I534" t="s">
        <v>87</v>
      </c>
      <c r="J534">
        <v>3210</v>
      </c>
      <c r="K534" s="141">
        <v>27.927</v>
      </c>
      <c r="O534" t="s">
        <v>952</v>
      </c>
      <c r="P534">
        <v>0</v>
      </c>
      <c r="Q534" t="s">
        <v>952</v>
      </c>
      <c r="U534">
        <v>70</v>
      </c>
      <c r="W534" t="s">
        <v>958</v>
      </c>
      <c r="X534" t="s">
        <v>883</v>
      </c>
      <c r="Y534" t="s">
        <v>1045</v>
      </c>
      <c r="AA534" t="s">
        <v>419</v>
      </c>
      <c r="AB534">
        <v>0</v>
      </c>
      <c r="AK534" t="s">
        <v>642</v>
      </c>
      <c r="AL534" t="s">
        <v>290</v>
      </c>
    </row>
    <row r="535" spans="1:38">
      <c r="A535" s="146">
        <v>46198.886631944442</v>
      </c>
      <c r="B535" s="146">
        <v>46198</v>
      </c>
      <c r="C535">
        <v>2021645</v>
      </c>
      <c r="D535" t="s">
        <v>629</v>
      </c>
      <c r="E535" t="s">
        <v>643</v>
      </c>
      <c r="F535" t="s">
        <v>650</v>
      </c>
      <c r="G535" t="s">
        <v>1046</v>
      </c>
      <c r="H535" t="s">
        <v>641</v>
      </c>
      <c r="I535" t="s">
        <v>87</v>
      </c>
      <c r="J535">
        <v>3210</v>
      </c>
      <c r="K535" s="141">
        <v>27.927</v>
      </c>
      <c r="O535" t="s">
        <v>952</v>
      </c>
      <c r="P535">
        <v>0</v>
      </c>
      <c r="Q535" t="s">
        <v>952</v>
      </c>
      <c r="U535">
        <v>70</v>
      </c>
      <c r="W535" t="s">
        <v>958</v>
      </c>
      <c r="X535" t="s">
        <v>883</v>
      </c>
      <c r="Y535" t="s">
        <v>1045</v>
      </c>
      <c r="AA535" t="s">
        <v>419</v>
      </c>
      <c r="AB535">
        <v>0</v>
      </c>
      <c r="AK535" t="s">
        <v>642</v>
      </c>
      <c r="AL535" t="s">
        <v>290</v>
      </c>
    </row>
    <row r="536" spans="1:38">
      <c r="A536" s="146">
        <v>46198.891180555554</v>
      </c>
      <c r="B536" s="146">
        <v>46198</v>
      </c>
      <c r="C536">
        <v>2021645</v>
      </c>
      <c r="D536" t="s">
        <v>629</v>
      </c>
      <c r="E536" t="s">
        <v>643</v>
      </c>
      <c r="F536" t="s">
        <v>650</v>
      </c>
      <c r="G536" t="s">
        <v>1048</v>
      </c>
      <c r="H536" t="s">
        <v>641</v>
      </c>
      <c r="I536" t="s">
        <v>1047</v>
      </c>
      <c r="K536" s="141">
        <v>0</v>
      </c>
      <c r="O536" t="s">
        <v>1039</v>
      </c>
      <c r="P536">
        <v>0</v>
      </c>
      <c r="Q536" t="s">
        <v>1039</v>
      </c>
      <c r="U536">
        <v>70</v>
      </c>
      <c r="W536" t="s">
        <v>958</v>
      </c>
      <c r="X536" t="s">
        <v>883</v>
      </c>
      <c r="Y536" t="s">
        <v>1049</v>
      </c>
      <c r="AA536" t="s">
        <v>419</v>
      </c>
      <c r="AB536">
        <v>0</v>
      </c>
      <c r="AK536" t="s">
        <v>642</v>
      </c>
      <c r="AL536" t="s">
        <v>290</v>
      </c>
    </row>
    <row r="537" spans="1:38">
      <c r="A537" s="146">
        <v>46198.894918981481</v>
      </c>
      <c r="B537" s="146">
        <v>46198</v>
      </c>
      <c r="C537">
        <v>2241656</v>
      </c>
      <c r="D537" t="s">
        <v>409</v>
      </c>
      <c r="E537" t="s">
        <v>643</v>
      </c>
      <c r="F537" t="s">
        <v>650</v>
      </c>
      <c r="G537" t="s">
        <v>469</v>
      </c>
      <c r="H537" t="s">
        <v>641</v>
      </c>
      <c r="I537" t="s">
        <v>96</v>
      </c>
      <c r="K537" s="141">
        <v>0</v>
      </c>
      <c r="O537" t="s">
        <v>1052</v>
      </c>
      <c r="P537">
        <v>0</v>
      </c>
      <c r="Q537" t="s">
        <v>1052</v>
      </c>
      <c r="U537">
        <v>45</v>
      </c>
      <c r="W537" t="s">
        <v>958</v>
      </c>
      <c r="X537" t="s">
        <v>883</v>
      </c>
      <c r="Y537" t="s">
        <v>1053</v>
      </c>
      <c r="AA537" t="s">
        <v>647</v>
      </c>
      <c r="AB537">
        <v>0</v>
      </c>
      <c r="AK537" t="s">
        <v>642</v>
      </c>
      <c r="AL537" t="s">
        <v>290</v>
      </c>
    </row>
    <row r="538" spans="1:38">
      <c r="A538" s="146">
        <v>46198.904641203706</v>
      </c>
      <c r="B538" s="146">
        <v>46198</v>
      </c>
      <c r="C538">
        <v>2224288</v>
      </c>
      <c r="D538" t="s">
        <v>401</v>
      </c>
      <c r="E538" t="s">
        <v>643</v>
      </c>
      <c r="F538" t="s">
        <v>650</v>
      </c>
      <c r="G538" t="s">
        <v>222</v>
      </c>
      <c r="H538" t="s">
        <v>641</v>
      </c>
      <c r="I538" t="s">
        <v>98</v>
      </c>
      <c r="K538" s="141">
        <v>0</v>
      </c>
      <c r="O538" t="s">
        <v>1059</v>
      </c>
      <c r="P538">
        <v>0</v>
      </c>
      <c r="Q538" t="s">
        <v>1059</v>
      </c>
      <c r="R538" t="s">
        <v>1054</v>
      </c>
      <c r="U538">
        <v>50</v>
      </c>
      <c r="W538" t="s">
        <v>958</v>
      </c>
      <c r="X538" t="s">
        <v>883</v>
      </c>
      <c r="Y538" t="s">
        <v>1062</v>
      </c>
      <c r="AA538" t="s">
        <v>419</v>
      </c>
      <c r="AB538">
        <v>0</v>
      </c>
      <c r="AK538" t="s">
        <v>642</v>
      </c>
      <c r="AL538" t="s">
        <v>290</v>
      </c>
    </row>
    <row r="539" spans="1:38">
      <c r="A539" s="146">
        <v>46198.899108796293</v>
      </c>
      <c r="B539" s="146">
        <v>46198</v>
      </c>
      <c r="C539">
        <v>2223535</v>
      </c>
      <c r="D539" t="s">
        <v>400</v>
      </c>
      <c r="E539" t="s">
        <v>643</v>
      </c>
      <c r="F539" t="s">
        <v>650</v>
      </c>
      <c r="G539" t="s">
        <v>229</v>
      </c>
      <c r="H539" t="s">
        <v>641</v>
      </c>
      <c r="I539" t="s">
        <v>97</v>
      </c>
      <c r="K539" s="141">
        <v>0</v>
      </c>
      <c r="O539" t="s">
        <v>1039</v>
      </c>
      <c r="P539">
        <v>0</v>
      </c>
      <c r="Q539" t="s">
        <v>1039</v>
      </c>
      <c r="R539" t="s">
        <v>1040</v>
      </c>
      <c r="U539">
        <v>17</v>
      </c>
      <c r="W539" t="s">
        <v>958</v>
      </c>
      <c r="X539" t="s">
        <v>883</v>
      </c>
      <c r="Y539" t="s">
        <v>1055</v>
      </c>
      <c r="AA539" t="s">
        <v>419</v>
      </c>
      <c r="AB539">
        <v>0</v>
      </c>
      <c r="AK539" t="s">
        <v>642</v>
      </c>
      <c r="AL539" t="s">
        <v>290</v>
      </c>
    </row>
    <row r="540" spans="1:38">
      <c r="A540" s="146">
        <v>46198.900023148148</v>
      </c>
      <c r="B540" s="146">
        <v>46198</v>
      </c>
      <c r="C540">
        <v>2223535</v>
      </c>
      <c r="D540" t="s">
        <v>400</v>
      </c>
      <c r="E540" t="s">
        <v>643</v>
      </c>
      <c r="F540" t="s">
        <v>650</v>
      </c>
      <c r="G540" t="s">
        <v>230</v>
      </c>
      <c r="H540" t="s">
        <v>641</v>
      </c>
      <c r="I540" t="s">
        <v>86</v>
      </c>
      <c r="K540" s="141">
        <v>0</v>
      </c>
      <c r="O540" t="s">
        <v>1056</v>
      </c>
      <c r="P540">
        <v>0</v>
      </c>
      <c r="Q540" t="s">
        <v>1056</v>
      </c>
      <c r="R540" t="s">
        <v>1057</v>
      </c>
      <c r="U540">
        <v>60</v>
      </c>
      <c r="W540" t="s">
        <v>958</v>
      </c>
      <c r="X540" t="s">
        <v>883</v>
      </c>
      <c r="Y540" t="s">
        <v>1058</v>
      </c>
      <c r="AA540" t="s">
        <v>647</v>
      </c>
      <c r="AB540">
        <v>0</v>
      </c>
      <c r="AK540" t="s">
        <v>642</v>
      </c>
      <c r="AL540" t="s">
        <v>290</v>
      </c>
    </row>
    <row r="541" spans="1:38">
      <c r="A541" s="146">
        <v>46198.901736111111</v>
      </c>
      <c r="B541" s="146">
        <v>46198</v>
      </c>
      <c r="C541">
        <v>2222332</v>
      </c>
      <c r="D541" t="s">
        <v>406</v>
      </c>
      <c r="E541" t="s">
        <v>643</v>
      </c>
      <c r="F541" t="s">
        <v>650</v>
      </c>
      <c r="G541" t="s">
        <v>227</v>
      </c>
      <c r="H541" t="s">
        <v>641</v>
      </c>
      <c r="I541" t="s">
        <v>81</v>
      </c>
      <c r="K541" s="141">
        <v>0</v>
      </c>
      <c r="O541" t="s">
        <v>1059</v>
      </c>
      <c r="P541">
        <v>0</v>
      </c>
      <c r="Q541" t="s">
        <v>1059</v>
      </c>
      <c r="U541">
        <v>47</v>
      </c>
      <c r="W541" t="s">
        <v>958</v>
      </c>
      <c r="X541" t="s">
        <v>883</v>
      </c>
      <c r="Y541" t="s">
        <v>1060</v>
      </c>
      <c r="AA541" t="s">
        <v>419</v>
      </c>
      <c r="AB541">
        <v>0</v>
      </c>
      <c r="AK541" t="s">
        <v>642</v>
      </c>
      <c r="AL541" t="s">
        <v>290</v>
      </c>
    </row>
    <row r="542" spans="1:38">
      <c r="A542" s="146">
        <v>46198.903032407405</v>
      </c>
      <c r="B542" s="146">
        <v>46198</v>
      </c>
      <c r="C542">
        <v>2222332</v>
      </c>
      <c r="D542" t="s">
        <v>406</v>
      </c>
      <c r="E542" t="s">
        <v>643</v>
      </c>
      <c r="F542" t="s">
        <v>650</v>
      </c>
      <c r="G542" t="s">
        <v>229</v>
      </c>
      <c r="H542" t="s">
        <v>641</v>
      </c>
      <c r="I542" t="s">
        <v>101</v>
      </c>
      <c r="K542" s="141">
        <v>0</v>
      </c>
      <c r="O542" t="s">
        <v>1059</v>
      </c>
      <c r="P542">
        <v>0</v>
      </c>
      <c r="Q542" t="s">
        <v>1059</v>
      </c>
      <c r="U542">
        <v>17</v>
      </c>
      <c r="W542" t="s">
        <v>958</v>
      </c>
      <c r="X542" t="s">
        <v>883</v>
      </c>
      <c r="Y542" t="s">
        <v>1061</v>
      </c>
      <c r="AA542" t="s">
        <v>419</v>
      </c>
      <c r="AB542">
        <v>0</v>
      </c>
      <c r="AK542" t="s">
        <v>642</v>
      </c>
      <c r="AL542" t="s">
        <v>290</v>
      </c>
    </row>
    <row r="543" spans="1:38">
      <c r="A543" s="146">
        <v>46198.906504629631</v>
      </c>
      <c r="B543" s="146">
        <v>46198</v>
      </c>
      <c r="C543">
        <v>2224288</v>
      </c>
      <c r="D543" t="s">
        <v>401</v>
      </c>
      <c r="E543" t="s">
        <v>643</v>
      </c>
      <c r="F543" t="s">
        <v>650</v>
      </c>
      <c r="G543" t="s">
        <v>222</v>
      </c>
      <c r="H543" t="s">
        <v>641</v>
      </c>
      <c r="I543" t="s">
        <v>98</v>
      </c>
      <c r="K543" s="141">
        <v>0</v>
      </c>
      <c r="O543" t="s">
        <v>1059</v>
      </c>
      <c r="P543">
        <v>0</v>
      </c>
      <c r="Q543" t="s">
        <v>1059</v>
      </c>
      <c r="R543" t="s">
        <v>1054</v>
      </c>
      <c r="U543">
        <v>50</v>
      </c>
      <c r="W543" t="s">
        <v>958</v>
      </c>
      <c r="X543" t="s">
        <v>883</v>
      </c>
      <c r="Y543" t="s">
        <v>1063</v>
      </c>
      <c r="AA543" t="s">
        <v>419</v>
      </c>
      <c r="AB543">
        <v>0</v>
      </c>
      <c r="AK543" t="s">
        <v>642</v>
      </c>
      <c r="AL543" t="s">
        <v>290</v>
      </c>
    </row>
    <row r="544" spans="1:38">
      <c r="A544" s="146">
        <v>46198.910914351851</v>
      </c>
      <c r="B544" s="146">
        <v>46198</v>
      </c>
      <c r="C544">
        <v>2226596</v>
      </c>
      <c r="D544" t="s">
        <v>403</v>
      </c>
      <c r="E544" t="s">
        <v>643</v>
      </c>
      <c r="F544" t="s">
        <v>650</v>
      </c>
      <c r="G544" t="s">
        <v>222</v>
      </c>
      <c r="H544" t="s">
        <v>641</v>
      </c>
      <c r="I544" t="s">
        <v>89</v>
      </c>
      <c r="J544">
        <v>3020</v>
      </c>
      <c r="K544" s="141">
        <v>64.23</v>
      </c>
      <c r="O544" t="s">
        <v>1064</v>
      </c>
      <c r="P544">
        <v>0</v>
      </c>
      <c r="Q544" t="s">
        <v>1064</v>
      </c>
      <c r="R544" t="s">
        <v>1050</v>
      </c>
      <c r="U544">
        <v>45</v>
      </c>
      <c r="W544" t="s">
        <v>958</v>
      </c>
      <c r="X544" t="s">
        <v>883</v>
      </c>
      <c r="Y544" t="s">
        <v>1065</v>
      </c>
      <c r="AA544" t="s">
        <v>419</v>
      </c>
      <c r="AB544">
        <v>0</v>
      </c>
      <c r="AK544" t="s">
        <v>642</v>
      </c>
      <c r="AL544" t="s">
        <v>290</v>
      </c>
    </row>
    <row r="545" spans="1:39">
      <c r="A545" s="146">
        <v>46198.910914351851</v>
      </c>
      <c r="B545" s="146">
        <v>46198</v>
      </c>
      <c r="C545">
        <v>2226596</v>
      </c>
      <c r="D545" t="s">
        <v>403</v>
      </c>
      <c r="E545" t="s">
        <v>643</v>
      </c>
      <c r="F545" t="s">
        <v>650</v>
      </c>
      <c r="G545" t="s">
        <v>228</v>
      </c>
      <c r="H545" t="s">
        <v>641</v>
      </c>
      <c r="I545" t="s">
        <v>89</v>
      </c>
      <c r="J545">
        <v>1015</v>
      </c>
      <c r="K545" s="141">
        <v>48.65</v>
      </c>
      <c r="O545" t="s">
        <v>1064</v>
      </c>
      <c r="P545">
        <v>1</v>
      </c>
      <c r="Q545" t="s">
        <v>1064</v>
      </c>
      <c r="R545" t="s">
        <v>1051</v>
      </c>
      <c r="U545">
        <v>21</v>
      </c>
      <c r="W545" t="s">
        <v>958</v>
      </c>
      <c r="X545" t="s">
        <v>883</v>
      </c>
      <c r="Y545" t="s">
        <v>1065</v>
      </c>
      <c r="AA545" t="s">
        <v>419</v>
      </c>
      <c r="AB545">
        <v>0</v>
      </c>
      <c r="AK545" t="s">
        <v>642</v>
      </c>
      <c r="AL545" t="s">
        <v>290</v>
      </c>
    </row>
    <row r="546" spans="1:39">
      <c r="A546" s="146">
        <v>46198.910914351851</v>
      </c>
      <c r="B546" s="146">
        <v>46198</v>
      </c>
      <c r="C546">
        <v>2226596</v>
      </c>
      <c r="D546" t="s">
        <v>403</v>
      </c>
      <c r="E546" t="s">
        <v>643</v>
      </c>
      <c r="F546" t="s">
        <v>650</v>
      </c>
      <c r="G546" t="s">
        <v>227</v>
      </c>
      <c r="H546" t="s">
        <v>641</v>
      </c>
      <c r="I546" t="s">
        <v>90</v>
      </c>
      <c r="J546">
        <v>3020</v>
      </c>
      <c r="K546" s="141">
        <v>60</v>
      </c>
      <c r="O546" t="s">
        <v>1064</v>
      </c>
      <c r="P546">
        <v>1</v>
      </c>
      <c r="Q546" t="s">
        <v>1064</v>
      </c>
      <c r="R546" t="s">
        <v>1051</v>
      </c>
      <c r="U546">
        <v>21</v>
      </c>
      <c r="W546" t="s">
        <v>958</v>
      </c>
      <c r="X546" t="s">
        <v>883</v>
      </c>
      <c r="Y546" t="s">
        <v>1065</v>
      </c>
      <c r="AA546" t="s">
        <v>419</v>
      </c>
      <c r="AB546">
        <v>0</v>
      </c>
      <c r="AK546" t="s">
        <v>642</v>
      </c>
      <c r="AL546" t="s">
        <v>290</v>
      </c>
    </row>
    <row r="547" spans="1:39">
      <c r="A547" s="146">
        <v>46199.178668981483</v>
      </c>
      <c r="B547" s="146">
        <v>46198</v>
      </c>
      <c r="C547">
        <v>1921551</v>
      </c>
      <c r="D547" t="s">
        <v>380</v>
      </c>
      <c r="E547" t="s">
        <v>653</v>
      </c>
      <c r="F547" t="s">
        <v>650</v>
      </c>
      <c r="G547" t="s">
        <v>222</v>
      </c>
      <c r="H547" t="s">
        <v>641</v>
      </c>
      <c r="I547" t="s">
        <v>1067</v>
      </c>
      <c r="J547">
        <v>4420</v>
      </c>
      <c r="K547" s="141">
        <v>79.117999999999995</v>
      </c>
      <c r="O547" t="s">
        <v>1064</v>
      </c>
      <c r="P547">
        <v>0</v>
      </c>
      <c r="Q547" t="s">
        <v>1064</v>
      </c>
      <c r="U547">
        <v>50</v>
      </c>
      <c r="W547" t="s">
        <v>958</v>
      </c>
      <c r="X547" t="s">
        <v>883</v>
      </c>
      <c r="Y547" t="s">
        <v>1066</v>
      </c>
      <c r="AA547" t="s">
        <v>419</v>
      </c>
      <c r="AB547">
        <v>0</v>
      </c>
      <c r="AK547" t="s">
        <v>642</v>
      </c>
      <c r="AL547" t="s">
        <v>290</v>
      </c>
    </row>
    <row r="548" spans="1:39">
      <c r="A548" s="146">
        <v>46199.199791666666</v>
      </c>
      <c r="B548" s="146">
        <v>46198</v>
      </c>
      <c r="C548">
        <v>2022158</v>
      </c>
      <c r="D548" t="s">
        <v>394</v>
      </c>
      <c r="E548" t="s">
        <v>653</v>
      </c>
      <c r="F548" t="s">
        <v>650</v>
      </c>
      <c r="G548" t="s">
        <v>230</v>
      </c>
      <c r="H548" t="s">
        <v>641</v>
      </c>
      <c r="I548" t="s">
        <v>1072</v>
      </c>
      <c r="J548">
        <v>3210</v>
      </c>
      <c r="K548" s="141">
        <v>27.927</v>
      </c>
      <c r="O548" t="s">
        <v>1068</v>
      </c>
      <c r="P548">
        <v>0</v>
      </c>
      <c r="Q548" t="s">
        <v>1068</v>
      </c>
      <c r="U548">
        <v>60</v>
      </c>
      <c r="W548" t="s">
        <v>958</v>
      </c>
      <c r="X548" t="s">
        <v>883</v>
      </c>
      <c r="Y548" t="s">
        <v>1069</v>
      </c>
      <c r="AA548" t="s">
        <v>647</v>
      </c>
      <c r="AB548">
        <v>0</v>
      </c>
      <c r="AK548" t="s">
        <v>642</v>
      </c>
      <c r="AL548" t="s">
        <v>290</v>
      </c>
    </row>
    <row r="549" spans="1:39">
      <c r="A549" s="146">
        <v>46199.200659722221</v>
      </c>
      <c r="B549" s="146">
        <v>46198</v>
      </c>
      <c r="C549">
        <v>2022158</v>
      </c>
      <c r="D549" t="s">
        <v>394</v>
      </c>
      <c r="E549" t="s">
        <v>653</v>
      </c>
      <c r="F549" t="s">
        <v>650</v>
      </c>
      <c r="G549" t="s">
        <v>229</v>
      </c>
      <c r="H549" t="s">
        <v>641</v>
      </c>
      <c r="I549" t="s">
        <v>1073</v>
      </c>
      <c r="J549">
        <v>1530</v>
      </c>
      <c r="K549" s="141">
        <v>109.395</v>
      </c>
      <c r="O549" t="s">
        <v>1070</v>
      </c>
      <c r="P549">
        <v>0</v>
      </c>
      <c r="Q549" t="s">
        <v>1070</v>
      </c>
      <c r="U549">
        <v>17</v>
      </c>
      <c r="W549" t="s">
        <v>958</v>
      </c>
      <c r="X549" t="s">
        <v>883</v>
      </c>
      <c r="Y549" t="s">
        <v>1071</v>
      </c>
      <c r="AA549" t="s">
        <v>419</v>
      </c>
      <c r="AB549">
        <v>0</v>
      </c>
      <c r="AK549" t="s">
        <v>642</v>
      </c>
      <c r="AL549" t="s">
        <v>290</v>
      </c>
    </row>
    <row r="550" spans="1:39">
      <c r="A550" s="146">
        <v>46199.234479166669</v>
      </c>
      <c r="B550" s="146">
        <v>46198</v>
      </c>
      <c r="C550">
        <v>2020965</v>
      </c>
      <c r="D550" t="s">
        <v>386</v>
      </c>
      <c r="E550" t="s">
        <v>653</v>
      </c>
      <c r="F550" t="s">
        <v>650</v>
      </c>
      <c r="G550" t="s">
        <v>227</v>
      </c>
      <c r="H550" t="s">
        <v>641</v>
      </c>
      <c r="I550" t="s">
        <v>90</v>
      </c>
      <c r="J550">
        <v>3020</v>
      </c>
      <c r="K550" s="141">
        <v>54</v>
      </c>
      <c r="O550" t="s">
        <v>1070</v>
      </c>
      <c r="P550">
        <v>0</v>
      </c>
      <c r="Q550" t="s">
        <v>1070</v>
      </c>
      <c r="U550">
        <v>45</v>
      </c>
      <c r="W550" t="s">
        <v>958</v>
      </c>
      <c r="X550" t="s">
        <v>883</v>
      </c>
      <c r="Y550" t="s">
        <v>1074</v>
      </c>
      <c r="AA550" t="s">
        <v>419</v>
      </c>
      <c r="AB550">
        <v>0</v>
      </c>
      <c r="AK550" t="s">
        <v>642</v>
      </c>
      <c r="AL550" t="s">
        <v>290</v>
      </c>
    </row>
    <row r="551" spans="1:39">
      <c r="A551" s="146">
        <v>46199.236863425926</v>
      </c>
      <c r="B551" s="146">
        <v>46198</v>
      </c>
      <c r="C551">
        <v>2221908</v>
      </c>
      <c r="D551" t="s">
        <v>398</v>
      </c>
      <c r="E551" t="s">
        <v>653</v>
      </c>
      <c r="F551" t="s">
        <v>650</v>
      </c>
      <c r="G551" t="s">
        <v>228</v>
      </c>
      <c r="H551" t="s">
        <v>641</v>
      </c>
      <c r="I551" t="s">
        <v>1076</v>
      </c>
      <c r="J551">
        <v>615</v>
      </c>
      <c r="K551" s="141">
        <v>31.734000000000002</v>
      </c>
      <c r="O551" t="s">
        <v>651</v>
      </c>
      <c r="P551">
        <v>1</v>
      </c>
      <c r="Q551" t="s">
        <v>651</v>
      </c>
      <c r="U551">
        <v>21</v>
      </c>
      <c r="W551" t="s">
        <v>958</v>
      </c>
      <c r="X551" t="s">
        <v>883</v>
      </c>
      <c r="Y551" t="s">
        <v>1075</v>
      </c>
      <c r="AA551" t="s">
        <v>652</v>
      </c>
      <c r="AB551">
        <v>0</v>
      </c>
      <c r="AK551" t="s">
        <v>642</v>
      </c>
      <c r="AL551" t="s">
        <v>59</v>
      </c>
    </row>
    <row r="552" spans="1:39">
      <c r="A552" s="146">
        <v>46199.239386574074</v>
      </c>
      <c r="B552" s="146">
        <v>46198</v>
      </c>
      <c r="C552">
        <v>2228947</v>
      </c>
      <c r="D552" t="s">
        <v>416</v>
      </c>
      <c r="E552" t="s">
        <v>653</v>
      </c>
      <c r="F552" t="s">
        <v>654</v>
      </c>
      <c r="G552" t="s">
        <v>680</v>
      </c>
      <c r="H552" t="s">
        <v>641</v>
      </c>
      <c r="I552" t="s">
        <v>94</v>
      </c>
      <c r="J552">
        <v>13980</v>
      </c>
      <c r="K552" s="141">
        <v>487.90199999999999</v>
      </c>
      <c r="L552">
        <v>13</v>
      </c>
      <c r="M552">
        <v>2</v>
      </c>
      <c r="N552">
        <v>502.90199999999999</v>
      </c>
      <c r="O552" t="s">
        <v>662</v>
      </c>
      <c r="P552">
        <v>0</v>
      </c>
      <c r="Q552" t="s">
        <v>662</v>
      </c>
      <c r="S552">
        <v>0</v>
      </c>
      <c r="T552">
        <v>5.5</v>
      </c>
      <c r="U552">
        <v>42</v>
      </c>
      <c r="V552">
        <v>1.0086580086580086</v>
      </c>
      <c r="W552" t="s">
        <v>958</v>
      </c>
      <c r="X552" t="s">
        <v>883</v>
      </c>
      <c r="Y552" t="s">
        <v>1077</v>
      </c>
      <c r="AA552" t="s">
        <v>419</v>
      </c>
      <c r="AB552">
        <v>0</v>
      </c>
      <c r="AG552">
        <v>6</v>
      </c>
      <c r="AH552">
        <v>13980</v>
      </c>
      <c r="AK552" t="s">
        <v>642</v>
      </c>
      <c r="AL552" t="s">
        <v>290</v>
      </c>
      <c r="AM552">
        <v>2</v>
      </c>
    </row>
    <row r="553" spans="1:39">
      <c r="A553" s="146">
        <v>46199.239386574074</v>
      </c>
      <c r="B553" s="146">
        <v>46198</v>
      </c>
      <c r="C553">
        <v>2228947</v>
      </c>
      <c r="D553" t="s">
        <v>416</v>
      </c>
      <c r="E553" t="s">
        <v>653</v>
      </c>
      <c r="F553" t="s">
        <v>650</v>
      </c>
      <c r="G553" t="s">
        <v>680</v>
      </c>
      <c r="H553" t="s">
        <v>641</v>
      </c>
      <c r="I553" t="s">
        <v>94</v>
      </c>
      <c r="K553" s="141">
        <v>0</v>
      </c>
      <c r="O553" t="s">
        <v>662</v>
      </c>
      <c r="P553">
        <v>0</v>
      </c>
      <c r="Q553" t="s">
        <v>662</v>
      </c>
      <c r="U553">
        <v>42</v>
      </c>
      <c r="W553" t="s">
        <v>958</v>
      </c>
      <c r="X553" t="s">
        <v>883</v>
      </c>
      <c r="Y553" t="s">
        <v>1077</v>
      </c>
      <c r="AA553" t="s">
        <v>419</v>
      </c>
      <c r="AB553">
        <v>0</v>
      </c>
      <c r="AK553" t="s">
        <v>642</v>
      </c>
      <c r="AL553" t="s">
        <v>290</v>
      </c>
    </row>
    <row r="554" spans="1:39">
      <c r="A554" s="146">
        <v>46199.240370370368</v>
      </c>
      <c r="B554" s="146">
        <v>46198</v>
      </c>
      <c r="C554">
        <v>2325310</v>
      </c>
      <c r="D554" t="s">
        <v>413</v>
      </c>
      <c r="E554" t="s">
        <v>653</v>
      </c>
      <c r="F554" t="s">
        <v>650</v>
      </c>
      <c r="G554" t="s">
        <v>229</v>
      </c>
      <c r="H554" t="s">
        <v>641</v>
      </c>
      <c r="I554" t="s">
        <v>1080</v>
      </c>
      <c r="J554">
        <v>1020</v>
      </c>
      <c r="K554" s="141">
        <v>72.929999999999993</v>
      </c>
      <c r="O554" t="s">
        <v>662</v>
      </c>
      <c r="P554">
        <v>0</v>
      </c>
      <c r="Q554" t="s">
        <v>662</v>
      </c>
      <c r="U554">
        <v>17</v>
      </c>
      <c r="W554" t="s">
        <v>958</v>
      </c>
      <c r="X554" t="s">
        <v>883</v>
      </c>
      <c r="Y554" t="s">
        <v>1078</v>
      </c>
      <c r="AA554" t="s">
        <v>419</v>
      </c>
      <c r="AB554">
        <v>0</v>
      </c>
      <c r="AK554" t="s">
        <v>642</v>
      </c>
      <c r="AL554" t="s">
        <v>290</v>
      </c>
    </row>
    <row r="555" spans="1:39">
      <c r="A555" s="146">
        <v>46199.241030092591</v>
      </c>
      <c r="B555" s="146">
        <v>46198</v>
      </c>
      <c r="C555">
        <v>2325310</v>
      </c>
      <c r="D555" t="s">
        <v>413</v>
      </c>
      <c r="E555" t="s">
        <v>653</v>
      </c>
      <c r="F555" t="s">
        <v>650</v>
      </c>
      <c r="G555" t="s">
        <v>227</v>
      </c>
      <c r="H555" t="s">
        <v>641</v>
      </c>
      <c r="I555" t="s">
        <v>1081</v>
      </c>
      <c r="J555">
        <v>3020</v>
      </c>
      <c r="K555" s="141">
        <v>54.058</v>
      </c>
      <c r="O555" t="s">
        <v>662</v>
      </c>
      <c r="P555">
        <v>0</v>
      </c>
      <c r="Q555" t="s">
        <v>662</v>
      </c>
      <c r="U555">
        <v>47</v>
      </c>
      <c r="W555" t="s">
        <v>958</v>
      </c>
      <c r="X555" t="s">
        <v>883</v>
      </c>
      <c r="Y555" t="s">
        <v>1079</v>
      </c>
      <c r="AA555" t="s">
        <v>419</v>
      </c>
      <c r="AB555">
        <v>0</v>
      </c>
      <c r="AK555" t="s">
        <v>642</v>
      </c>
      <c r="AL555" t="s">
        <v>290</v>
      </c>
    </row>
    <row r="556" spans="1:39">
      <c r="A556" s="146">
        <v>46199.244351851848</v>
      </c>
      <c r="B556" s="146">
        <v>46198</v>
      </c>
      <c r="C556">
        <v>2228947</v>
      </c>
      <c r="D556" t="s">
        <v>416</v>
      </c>
      <c r="E556" t="s">
        <v>653</v>
      </c>
      <c r="F556" t="s">
        <v>650</v>
      </c>
      <c r="G556" t="s">
        <v>660</v>
      </c>
      <c r="H556" t="s">
        <v>641</v>
      </c>
      <c r="I556" t="s">
        <v>1083</v>
      </c>
      <c r="J556">
        <v>2330</v>
      </c>
      <c r="K556" s="141">
        <v>81.317000000000007</v>
      </c>
      <c r="O556" t="s">
        <v>662</v>
      </c>
      <c r="P556">
        <v>0</v>
      </c>
      <c r="Q556" t="s">
        <v>662</v>
      </c>
      <c r="U556">
        <v>42</v>
      </c>
      <c r="W556" t="s">
        <v>958</v>
      </c>
      <c r="X556" t="s">
        <v>883</v>
      </c>
      <c r="Y556" t="s">
        <v>1082</v>
      </c>
      <c r="AA556" t="s">
        <v>419</v>
      </c>
      <c r="AB556">
        <v>0</v>
      </c>
      <c r="AK556" t="s">
        <v>642</v>
      </c>
      <c r="AL556" t="s">
        <v>290</v>
      </c>
    </row>
    <row r="557" spans="1:39">
      <c r="A557" s="146">
        <v>46199.395358796297</v>
      </c>
      <c r="B557" s="146">
        <v>46199.395358796297</v>
      </c>
      <c r="C557">
        <v>2222785</v>
      </c>
      <c r="D557" t="s">
        <v>399</v>
      </c>
      <c r="E557" t="s">
        <v>659</v>
      </c>
      <c r="F557" t="s">
        <v>650</v>
      </c>
      <c r="G557" t="s">
        <v>229</v>
      </c>
      <c r="H557" t="s">
        <v>641</v>
      </c>
      <c r="I557" t="s">
        <v>97</v>
      </c>
      <c r="J557">
        <v>1020</v>
      </c>
      <c r="K557" s="141">
        <v>72.929999999999993</v>
      </c>
      <c r="L557">
        <v>0</v>
      </c>
      <c r="M557">
        <v>0</v>
      </c>
      <c r="N557">
        <v>72.929999999999993</v>
      </c>
      <c r="O557" t="s">
        <v>662</v>
      </c>
      <c r="P557">
        <v>0</v>
      </c>
      <c r="Q557" t="s">
        <v>662</v>
      </c>
      <c r="S557">
        <v>0</v>
      </c>
      <c r="T557">
        <v>1</v>
      </c>
      <c r="U557">
        <v>17</v>
      </c>
      <c r="V557">
        <v>1</v>
      </c>
      <c r="W557" t="s">
        <v>958</v>
      </c>
      <c r="X557" t="s">
        <v>883</v>
      </c>
      <c r="Y557" t="s">
        <v>1084</v>
      </c>
      <c r="AA557" t="s">
        <v>419</v>
      </c>
      <c r="AB557">
        <v>7</v>
      </c>
      <c r="AG557">
        <v>1</v>
      </c>
      <c r="AH557">
        <v>1020</v>
      </c>
      <c r="AK557" t="s">
        <v>642</v>
      </c>
      <c r="AL557" t="s">
        <v>290</v>
      </c>
      <c r="AM557">
        <v>1</v>
      </c>
    </row>
    <row r="558" spans="1:39">
      <c r="A558" s="146">
        <v>46199.396064814813</v>
      </c>
      <c r="B558" s="146">
        <v>46199.395358796297</v>
      </c>
      <c r="C558">
        <v>2222785</v>
      </c>
      <c r="D558" t="s">
        <v>399</v>
      </c>
      <c r="E558" t="s">
        <v>659</v>
      </c>
      <c r="F558" t="s">
        <v>650</v>
      </c>
      <c r="G558" t="s">
        <v>664</v>
      </c>
      <c r="H558" t="s">
        <v>641</v>
      </c>
      <c r="I558" t="s">
        <v>97</v>
      </c>
      <c r="J558">
        <v>510</v>
      </c>
      <c r="K558" s="141">
        <v>36.464999999999996</v>
      </c>
      <c r="L558">
        <v>0</v>
      </c>
      <c r="M558">
        <v>0</v>
      </c>
      <c r="N558">
        <v>36.464999999999996</v>
      </c>
      <c r="O558" t="s">
        <v>662</v>
      </c>
      <c r="P558">
        <v>0</v>
      </c>
      <c r="Q558" t="s">
        <v>662</v>
      </c>
      <c r="S558">
        <v>0</v>
      </c>
      <c r="T558">
        <v>0.5</v>
      </c>
      <c r="U558">
        <v>17</v>
      </c>
      <c r="V558">
        <v>1</v>
      </c>
      <c r="W558" t="s">
        <v>958</v>
      </c>
      <c r="X558" t="s">
        <v>883</v>
      </c>
      <c r="Y558" t="s">
        <v>1085</v>
      </c>
      <c r="AA558" t="s">
        <v>419</v>
      </c>
      <c r="AB558">
        <v>7</v>
      </c>
      <c r="AG558">
        <v>1</v>
      </c>
      <c r="AH558">
        <v>510</v>
      </c>
      <c r="AK558" t="s">
        <v>642</v>
      </c>
      <c r="AL558" t="s">
        <v>290</v>
      </c>
      <c r="AM558">
        <v>1</v>
      </c>
    </row>
    <row r="559" spans="1:39">
      <c r="A559" s="146">
        <v>46199.509548611109</v>
      </c>
      <c r="B559" s="146">
        <v>46199.395358796297</v>
      </c>
      <c r="C559">
        <v>2220255</v>
      </c>
      <c r="D559" t="s">
        <v>396</v>
      </c>
      <c r="E559" t="s">
        <v>659</v>
      </c>
      <c r="F559" t="s">
        <v>650</v>
      </c>
      <c r="G559" t="s">
        <v>227</v>
      </c>
      <c r="H559" t="s">
        <v>641</v>
      </c>
      <c r="I559" t="s">
        <v>90</v>
      </c>
      <c r="J559">
        <v>3210</v>
      </c>
      <c r="K559" s="141">
        <v>57.458999999999996</v>
      </c>
      <c r="O559" t="s">
        <v>662</v>
      </c>
      <c r="P559">
        <v>0</v>
      </c>
      <c r="Q559" t="s">
        <v>662</v>
      </c>
      <c r="R559" t="s">
        <v>1086</v>
      </c>
      <c r="U559">
        <v>45</v>
      </c>
      <c r="W559" t="s">
        <v>958</v>
      </c>
      <c r="X559" t="s">
        <v>883</v>
      </c>
      <c r="Y559" t="s">
        <v>1087</v>
      </c>
      <c r="AA559" t="s">
        <v>419</v>
      </c>
      <c r="AB559">
        <v>7</v>
      </c>
      <c r="AK559" t="s">
        <v>642</v>
      </c>
      <c r="AL559" t="s">
        <v>290</v>
      </c>
    </row>
    <row r="560" spans="1:39">
      <c r="A560" s="146">
        <v>46199.553090277775</v>
      </c>
      <c r="B560" s="146">
        <v>46199.395358796297</v>
      </c>
      <c r="C560">
        <v>2325374</v>
      </c>
      <c r="D560" t="s">
        <v>415</v>
      </c>
      <c r="E560" t="s">
        <v>659</v>
      </c>
      <c r="F560" t="s">
        <v>650</v>
      </c>
      <c r="G560" t="s">
        <v>228</v>
      </c>
      <c r="H560" t="s">
        <v>641</v>
      </c>
      <c r="I560" t="s">
        <v>1099</v>
      </c>
      <c r="J560">
        <v>615</v>
      </c>
      <c r="K560" s="141">
        <v>31.734000000000002</v>
      </c>
      <c r="O560" t="s">
        <v>665</v>
      </c>
      <c r="P560">
        <v>1</v>
      </c>
      <c r="Q560" t="s">
        <v>665</v>
      </c>
      <c r="R560" t="s">
        <v>1088</v>
      </c>
      <c r="U560">
        <v>21</v>
      </c>
      <c r="W560" t="s">
        <v>958</v>
      </c>
      <c r="X560" t="s">
        <v>883</v>
      </c>
      <c r="Y560" t="s">
        <v>1089</v>
      </c>
      <c r="AA560" t="s">
        <v>419</v>
      </c>
      <c r="AB560">
        <v>0</v>
      </c>
      <c r="AK560" t="s">
        <v>642</v>
      </c>
      <c r="AL560" t="s">
        <v>59</v>
      </c>
    </row>
    <row r="561" spans="1:39">
      <c r="A561" s="146">
        <v>46199.555115740739</v>
      </c>
      <c r="B561" s="146">
        <v>46199.395358796297</v>
      </c>
      <c r="C561">
        <v>2325374</v>
      </c>
      <c r="D561" t="s">
        <v>415</v>
      </c>
      <c r="E561" t="s">
        <v>659</v>
      </c>
      <c r="F561" t="s">
        <v>650</v>
      </c>
      <c r="G561" t="s">
        <v>222</v>
      </c>
      <c r="H561" t="s">
        <v>641</v>
      </c>
      <c r="I561" t="s">
        <v>1100</v>
      </c>
      <c r="J561">
        <v>2210</v>
      </c>
      <c r="K561" s="141">
        <v>39.558999999999997</v>
      </c>
      <c r="O561" t="s">
        <v>812</v>
      </c>
      <c r="P561">
        <v>0</v>
      </c>
      <c r="Q561" t="s">
        <v>812</v>
      </c>
      <c r="R561" t="s">
        <v>1090</v>
      </c>
      <c r="U561">
        <v>50</v>
      </c>
      <c r="W561" t="s">
        <v>958</v>
      </c>
      <c r="X561" t="s">
        <v>883</v>
      </c>
      <c r="Y561" t="s">
        <v>1091</v>
      </c>
      <c r="AA561" t="s">
        <v>647</v>
      </c>
      <c r="AB561">
        <v>0</v>
      </c>
      <c r="AK561" t="s">
        <v>642</v>
      </c>
      <c r="AL561" t="s">
        <v>290</v>
      </c>
    </row>
    <row r="562" spans="1:39">
      <c r="A562" s="146">
        <v>46199.559189814812</v>
      </c>
      <c r="B562" s="146">
        <v>46199.395358796297</v>
      </c>
      <c r="C562">
        <v>2325301</v>
      </c>
      <c r="D562" t="s">
        <v>412</v>
      </c>
      <c r="E562" t="s">
        <v>659</v>
      </c>
      <c r="F562" t="s">
        <v>650</v>
      </c>
      <c r="G562" t="s">
        <v>229</v>
      </c>
      <c r="H562" t="s">
        <v>641</v>
      </c>
      <c r="I562" t="s">
        <v>101</v>
      </c>
      <c r="J562">
        <v>1020</v>
      </c>
      <c r="K562" s="141">
        <v>72.929999999999993</v>
      </c>
      <c r="O562" t="s">
        <v>812</v>
      </c>
      <c r="P562">
        <v>0</v>
      </c>
      <c r="Q562" t="s">
        <v>812</v>
      </c>
      <c r="U562">
        <v>17</v>
      </c>
      <c r="W562" t="s">
        <v>958</v>
      </c>
      <c r="X562" t="s">
        <v>883</v>
      </c>
      <c r="Y562" t="s">
        <v>1092</v>
      </c>
      <c r="AA562" t="s">
        <v>647</v>
      </c>
      <c r="AB562">
        <v>0</v>
      </c>
      <c r="AK562" t="s">
        <v>642</v>
      </c>
      <c r="AL562" t="s">
        <v>290</v>
      </c>
    </row>
    <row r="563" spans="1:39">
      <c r="A563" s="146">
        <v>46199.559189814812</v>
      </c>
      <c r="B563" s="146">
        <v>46199.395358796297</v>
      </c>
      <c r="C563">
        <v>2325301</v>
      </c>
      <c r="D563" t="s">
        <v>412</v>
      </c>
      <c r="E563" t="s">
        <v>659</v>
      </c>
      <c r="F563" t="s">
        <v>650</v>
      </c>
      <c r="G563" t="s">
        <v>227</v>
      </c>
      <c r="H563" t="s">
        <v>641</v>
      </c>
      <c r="I563" t="s">
        <v>1103</v>
      </c>
      <c r="J563">
        <v>1510</v>
      </c>
      <c r="K563" s="141">
        <v>30</v>
      </c>
      <c r="O563" t="s">
        <v>662</v>
      </c>
      <c r="P563">
        <v>0</v>
      </c>
      <c r="Q563" t="s">
        <v>662</v>
      </c>
      <c r="U563">
        <v>47</v>
      </c>
      <c r="W563" t="s">
        <v>958</v>
      </c>
      <c r="X563" t="s">
        <v>883</v>
      </c>
      <c r="Y563" t="s">
        <v>1079</v>
      </c>
      <c r="AA563" t="s">
        <v>419</v>
      </c>
      <c r="AB563">
        <v>0</v>
      </c>
      <c r="AK563" t="s">
        <v>642</v>
      </c>
      <c r="AL563" t="s">
        <v>290</v>
      </c>
    </row>
    <row r="564" spans="1:39">
      <c r="A564" s="146">
        <v>46199.56386574074</v>
      </c>
      <c r="B564" s="146">
        <v>46199</v>
      </c>
      <c r="C564">
        <v>2020488</v>
      </c>
      <c r="D564" t="s">
        <v>383</v>
      </c>
      <c r="E564" t="s">
        <v>659</v>
      </c>
      <c r="F564" t="s">
        <v>650</v>
      </c>
      <c r="G564" t="s">
        <v>1093</v>
      </c>
      <c r="H564" t="s">
        <v>641</v>
      </c>
      <c r="I564" t="s">
        <v>1097</v>
      </c>
      <c r="J564">
        <v>3775</v>
      </c>
      <c r="K564" s="141">
        <v>67.572499999999991</v>
      </c>
      <c r="O564" t="s">
        <v>812</v>
      </c>
      <c r="P564">
        <v>0</v>
      </c>
      <c r="Q564" t="s">
        <v>812</v>
      </c>
      <c r="U564">
        <v>50</v>
      </c>
      <c r="W564" t="s">
        <v>958</v>
      </c>
      <c r="X564" t="s">
        <v>883</v>
      </c>
      <c r="Y564" t="s">
        <v>1094</v>
      </c>
      <c r="AA564" t="s">
        <v>647</v>
      </c>
      <c r="AB564">
        <v>0</v>
      </c>
      <c r="AK564" t="s">
        <v>642</v>
      </c>
      <c r="AL564" t="s">
        <v>290</v>
      </c>
    </row>
    <row r="565" spans="1:39">
      <c r="A565" s="146">
        <v>46199.565208333333</v>
      </c>
      <c r="B565" s="146">
        <v>46199</v>
      </c>
      <c r="C565">
        <v>2020488</v>
      </c>
      <c r="D565" t="s">
        <v>383</v>
      </c>
      <c r="E565" t="s">
        <v>659</v>
      </c>
      <c r="F565" t="s">
        <v>650</v>
      </c>
      <c r="G565" t="s">
        <v>1095</v>
      </c>
      <c r="H565" t="s">
        <v>641</v>
      </c>
      <c r="I565" t="s">
        <v>1098</v>
      </c>
      <c r="J565">
        <v>930</v>
      </c>
      <c r="K565" s="141" t="e">
        <v>#N/A</v>
      </c>
      <c r="O565" t="s">
        <v>812</v>
      </c>
      <c r="P565">
        <v>0</v>
      </c>
      <c r="Q565" t="s">
        <v>812</v>
      </c>
      <c r="U565">
        <v>30</v>
      </c>
      <c r="W565" t="s">
        <v>958</v>
      </c>
      <c r="X565" t="s">
        <v>883</v>
      </c>
      <c r="Y565" t="s">
        <v>1096</v>
      </c>
      <c r="AA565" t="s">
        <v>647</v>
      </c>
      <c r="AB565">
        <v>0</v>
      </c>
      <c r="AK565" t="s">
        <v>642</v>
      </c>
      <c r="AL565" t="s">
        <v>670</v>
      </c>
    </row>
    <row r="566" spans="1:39">
      <c r="A566" s="146">
        <v>46199.57234953704</v>
      </c>
      <c r="B566" s="146">
        <v>46199</v>
      </c>
      <c r="C566">
        <v>2325374</v>
      </c>
      <c r="D566" t="s">
        <v>415</v>
      </c>
      <c r="E566" t="s">
        <v>659</v>
      </c>
      <c r="F566" t="s">
        <v>650</v>
      </c>
      <c r="G566" t="s">
        <v>222</v>
      </c>
      <c r="H566" t="s">
        <v>641</v>
      </c>
      <c r="I566" t="s">
        <v>96</v>
      </c>
      <c r="K566" s="141">
        <v>0</v>
      </c>
      <c r="O566" t="s">
        <v>812</v>
      </c>
      <c r="P566">
        <v>0</v>
      </c>
      <c r="Q566" t="s">
        <v>812</v>
      </c>
      <c r="R566" t="s">
        <v>1090</v>
      </c>
      <c r="U566">
        <v>50</v>
      </c>
      <c r="W566" t="s">
        <v>958</v>
      </c>
      <c r="X566" t="s">
        <v>883</v>
      </c>
      <c r="Y566" t="s">
        <v>1101</v>
      </c>
      <c r="AA566" t="s">
        <v>647</v>
      </c>
      <c r="AB566">
        <v>13</v>
      </c>
      <c r="AK566" t="s">
        <v>642</v>
      </c>
      <c r="AL566" t="s">
        <v>290</v>
      </c>
    </row>
    <row r="567" spans="1:39">
      <c r="A567" s="146">
        <v>46199.573229166665</v>
      </c>
      <c r="B567" s="146">
        <v>46199</v>
      </c>
      <c r="C567">
        <v>2325374</v>
      </c>
      <c r="D567" t="s">
        <v>415</v>
      </c>
      <c r="E567" t="s">
        <v>659</v>
      </c>
      <c r="F567" t="s">
        <v>650</v>
      </c>
      <c r="G567" t="s">
        <v>228</v>
      </c>
      <c r="H567" t="s">
        <v>641</v>
      </c>
      <c r="I567" t="s">
        <v>88</v>
      </c>
      <c r="K567" s="141">
        <v>0</v>
      </c>
      <c r="O567" t="s">
        <v>665</v>
      </c>
      <c r="P567">
        <v>1</v>
      </c>
      <c r="Q567" t="s">
        <v>665</v>
      </c>
      <c r="R567" t="s">
        <v>1088</v>
      </c>
      <c r="U567">
        <v>21</v>
      </c>
      <c r="W567" t="s">
        <v>958</v>
      </c>
      <c r="X567" t="s">
        <v>883</v>
      </c>
      <c r="Y567" t="s">
        <v>1102</v>
      </c>
      <c r="AA567" t="s">
        <v>652</v>
      </c>
      <c r="AB567">
        <v>0</v>
      </c>
      <c r="AK567" t="s">
        <v>642</v>
      </c>
      <c r="AL567" t="s">
        <v>59</v>
      </c>
    </row>
    <row r="568" spans="1:39">
      <c r="A568" s="146">
        <v>46199.582395833335</v>
      </c>
      <c r="B568" s="146">
        <v>46199</v>
      </c>
      <c r="C568">
        <v>2226596</v>
      </c>
      <c r="D568" t="s">
        <v>403</v>
      </c>
      <c r="E568" t="s">
        <v>643</v>
      </c>
      <c r="F568" t="s">
        <v>650</v>
      </c>
      <c r="G568" t="s">
        <v>230</v>
      </c>
      <c r="H568" t="s">
        <v>641</v>
      </c>
      <c r="I568" t="s">
        <v>86</v>
      </c>
      <c r="J568">
        <v>6420</v>
      </c>
      <c r="K568" s="141">
        <v>52.32</v>
      </c>
      <c r="O568" t="s">
        <v>812</v>
      </c>
      <c r="P568">
        <v>0</v>
      </c>
      <c r="Q568" t="s">
        <v>812</v>
      </c>
      <c r="R568" t="s">
        <v>1105</v>
      </c>
      <c r="U568">
        <v>60</v>
      </c>
      <c r="W568" t="s">
        <v>958</v>
      </c>
      <c r="X568" t="s">
        <v>883</v>
      </c>
      <c r="Y568" t="s">
        <v>1106</v>
      </c>
      <c r="AA568" t="s">
        <v>647</v>
      </c>
      <c r="AB568">
        <v>0</v>
      </c>
      <c r="AK568" t="s">
        <v>642</v>
      </c>
      <c r="AL568" t="s">
        <v>290</v>
      </c>
    </row>
    <row r="569" spans="1:39">
      <c r="A569" s="146">
        <v>46199.893009259256</v>
      </c>
      <c r="B569" s="146">
        <v>46199</v>
      </c>
      <c r="C569">
        <v>2222332</v>
      </c>
      <c r="D569" t="s">
        <v>406</v>
      </c>
      <c r="E569" t="s">
        <v>643</v>
      </c>
      <c r="F569" t="s">
        <v>650</v>
      </c>
      <c r="G569" t="s">
        <v>229</v>
      </c>
      <c r="H569" t="s">
        <v>641</v>
      </c>
      <c r="I569" t="s">
        <v>101</v>
      </c>
      <c r="J569">
        <v>1020</v>
      </c>
      <c r="K569" s="141">
        <v>72.929999999999993</v>
      </c>
      <c r="O569" t="s">
        <v>812</v>
      </c>
      <c r="P569">
        <v>0</v>
      </c>
      <c r="Q569" t="s">
        <v>812</v>
      </c>
      <c r="U569">
        <v>17</v>
      </c>
      <c r="W569" t="s">
        <v>958</v>
      </c>
      <c r="X569" t="s">
        <v>883</v>
      </c>
      <c r="Y569" t="s">
        <v>1107</v>
      </c>
      <c r="AA569" t="s">
        <v>647</v>
      </c>
      <c r="AB569">
        <v>0</v>
      </c>
      <c r="AK569" t="s">
        <v>642</v>
      </c>
      <c r="AL569" t="s">
        <v>290</v>
      </c>
    </row>
    <row r="570" spans="1:39">
      <c r="A570" s="146">
        <v>46199.893923611111</v>
      </c>
      <c r="B570" s="146">
        <v>46199</v>
      </c>
      <c r="C570">
        <v>2222332</v>
      </c>
      <c r="D570" t="s">
        <v>406</v>
      </c>
      <c r="E570" t="s">
        <v>643</v>
      </c>
      <c r="F570" t="s">
        <v>650</v>
      </c>
      <c r="G570" t="s">
        <v>224</v>
      </c>
      <c r="H570" t="s">
        <v>641</v>
      </c>
      <c r="I570" t="s">
        <v>81</v>
      </c>
      <c r="J570">
        <v>0</v>
      </c>
      <c r="K570" s="141">
        <v>0</v>
      </c>
      <c r="O570" t="s">
        <v>812</v>
      </c>
      <c r="P570">
        <v>0</v>
      </c>
      <c r="Q570" t="s">
        <v>812</v>
      </c>
      <c r="U570">
        <v>47</v>
      </c>
      <c r="W570" t="s">
        <v>958</v>
      </c>
      <c r="X570" t="s">
        <v>883</v>
      </c>
      <c r="Y570" t="s">
        <v>1108</v>
      </c>
      <c r="AA570" t="s">
        <v>647</v>
      </c>
      <c r="AB570">
        <v>0</v>
      </c>
      <c r="AK570" t="s">
        <v>642</v>
      </c>
      <c r="AL570" t="s">
        <v>59</v>
      </c>
    </row>
    <row r="571" spans="1:39">
      <c r="A571" s="146">
        <v>46200.018865740742</v>
      </c>
      <c r="B571" s="146">
        <v>46198</v>
      </c>
      <c r="C571">
        <v>2221908</v>
      </c>
      <c r="D571" t="s">
        <v>398</v>
      </c>
      <c r="E571" t="s">
        <v>1110</v>
      </c>
      <c r="F571" t="s">
        <v>654</v>
      </c>
      <c r="G571" t="s">
        <v>228</v>
      </c>
      <c r="H571" t="s">
        <v>641</v>
      </c>
      <c r="I571" t="s">
        <v>88</v>
      </c>
      <c r="J571">
        <v>9225</v>
      </c>
      <c r="K571" s="141">
        <v>476.01</v>
      </c>
      <c r="L571">
        <v>0</v>
      </c>
      <c r="M571">
        <v>1</v>
      </c>
      <c r="N571">
        <v>477.01</v>
      </c>
      <c r="O571" t="s">
        <v>651</v>
      </c>
      <c r="P571">
        <v>1</v>
      </c>
      <c r="Q571" t="s">
        <v>651</v>
      </c>
      <c r="S571">
        <v>0.66666666666666663</v>
      </c>
      <c r="T571">
        <v>8</v>
      </c>
      <c r="U571">
        <v>21</v>
      </c>
      <c r="V571">
        <v>0.9151785714285714</v>
      </c>
      <c r="W571" t="s">
        <v>958</v>
      </c>
      <c r="X571" t="s">
        <v>883</v>
      </c>
      <c r="Y571" t="s">
        <v>1109</v>
      </c>
      <c r="AA571" t="s">
        <v>652</v>
      </c>
      <c r="AB571">
        <v>0</v>
      </c>
      <c r="AI571">
        <v>15</v>
      </c>
      <c r="AJ571">
        <v>9225</v>
      </c>
      <c r="AK571" t="s">
        <v>642</v>
      </c>
      <c r="AL571" t="s">
        <v>59</v>
      </c>
      <c r="AM571">
        <v>2</v>
      </c>
    </row>
    <row r="572" spans="1:39">
      <c r="A572" s="146">
        <v>46200.018865740742</v>
      </c>
      <c r="B572" s="146">
        <v>46198</v>
      </c>
      <c r="C572">
        <v>2221908</v>
      </c>
      <c r="D572" t="s">
        <v>398</v>
      </c>
      <c r="E572" t="s">
        <v>653</v>
      </c>
      <c r="F572" t="s">
        <v>650</v>
      </c>
      <c r="G572" t="s">
        <v>228</v>
      </c>
      <c r="H572" t="s">
        <v>641</v>
      </c>
      <c r="I572" t="s">
        <v>88</v>
      </c>
      <c r="K572" s="141">
        <v>0</v>
      </c>
      <c r="O572" t="s">
        <v>651</v>
      </c>
      <c r="P572">
        <v>1</v>
      </c>
      <c r="Q572" t="s">
        <v>651</v>
      </c>
      <c r="U572">
        <v>21</v>
      </c>
      <c r="W572" t="s">
        <v>958</v>
      </c>
      <c r="X572" t="s">
        <v>883</v>
      </c>
      <c r="Y572" t="s">
        <v>1109</v>
      </c>
      <c r="AA572" t="s">
        <v>652</v>
      </c>
      <c r="AB572">
        <v>0</v>
      </c>
      <c r="AK572" t="s">
        <v>642</v>
      </c>
      <c r="AL572" t="s">
        <v>59</v>
      </c>
    </row>
    <row r="573" spans="1:39">
      <c r="A573" s="146">
        <v>46200.199178240742</v>
      </c>
      <c r="B573" s="146">
        <v>46199</v>
      </c>
      <c r="C573">
        <v>2022158</v>
      </c>
      <c r="D573" t="s">
        <v>394</v>
      </c>
      <c r="E573" t="s">
        <v>653</v>
      </c>
      <c r="F573" t="s">
        <v>650</v>
      </c>
      <c r="G573" t="s">
        <v>229</v>
      </c>
      <c r="H573" t="s">
        <v>641</v>
      </c>
      <c r="I573" t="s">
        <v>1113</v>
      </c>
      <c r="J573">
        <v>1020</v>
      </c>
      <c r="K573" s="141">
        <v>72.929999999999993</v>
      </c>
      <c r="O573" t="s">
        <v>1111</v>
      </c>
      <c r="P573">
        <v>0</v>
      </c>
      <c r="Q573" t="s">
        <v>1111</v>
      </c>
      <c r="U573">
        <v>17</v>
      </c>
      <c r="W573" t="s">
        <v>958</v>
      </c>
      <c r="X573" t="s">
        <v>883</v>
      </c>
      <c r="Y573" t="s">
        <v>1112</v>
      </c>
      <c r="AA573" t="s">
        <v>419</v>
      </c>
      <c r="AB573">
        <v>0</v>
      </c>
      <c r="AK573" t="s">
        <v>642</v>
      </c>
      <c r="AL573" t="s">
        <v>290</v>
      </c>
    </row>
    <row r="574" spans="1:39">
      <c r="A574" s="146">
        <v>46200.204988425925</v>
      </c>
      <c r="B574" s="146">
        <v>46199</v>
      </c>
      <c r="C574">
        <v>1921551</v>
      </c>
      <c r="D574" t="s">
        <v>380</v>
      </c>
      <c r="E574" t="s">
        <v>653</v>
      </c>
      <c r="F574" t="s">
        <v>650</v>
      </c>
      <c r="G574" t="s">
        <v>233</v>
      </c>
      <c r="H574" t="s">
        <v>641</v>
      </c>
      <c r="I574" t="s">
        <v>1115</v>
      </c>
      <c r="J574">
        <v>3210</v>
      </c>
      <c r="K574" s="141">
        <v>165.636</v>
      </c>
      <c r="O574" t="s">
        <v>1111</v>
      </c>
      <c r="P574">
        <v>0</v>
      </c>
      <c r="Q574" t="s">
        <v>1111</v>
      </c>
      <c r="U574">
        <v>45</v>
      </c>
      <c r="W574" t="s">
        <v>958</v>
      </c>
      <c r="X574" t="s">
        <v>883</v>
      </c>
      <c r="Y574" t="s">
        <v>1114</v>
      </c>
      <c r="AA574" t="s">
        <v>419</v>
      </c>
      <c r="AB574">
        <v>0</v>
      </c>
      <c r="AK574" t="s">
        <v>642</v>
      </c>
      <c r="AL574" t="s">
        <v>290</v>
      </c>
    </row>
    <row r="575" spans="1:39">
      <c r="A575" s="146">
        <v>46200.211851851855</v>
      </c>
      <c r="B575" s="146">
        <v>46199</v>
      </c>
      <c r="C575">
        <v>2221908</v>
      </c>
      <c r="D575" t="s">
        <v>398</v>
      </c>
      <c r="E575" t="s">
        <v>653</v>
      </c>
      <c r="F575" t="s">
        <v>650</v>
      </c>
      <c r="G575" t="s">
        <v>228</v>
      </c>
      <c r="H575" t="s">
        <v>641</v>
      </c>
      <c r="I575" t="s">
        <v>1118</v>
      </c>
      <c r="J575">
        <v>1015</v>
      </c>
      <c r="K575" s="141">
        <v>52.374000000000002</v>
      </c>
      <c r="O575" t="s">
        <v>1116</v>
      </c>
      <c r="P575">
        <v>1</v>
      </c>
      <c r="Q575" t="s">
        <v>1116</v>
      </c>
      <c r="U575">
        <v>21</v>
      </c>
      <c r="W575" t="s">
        <v>958</v>
      </c>
      <c r="X575" t="s">
        <v>883</v>
      </c>
      <c r="Y575" t="s">
        <v>1117</v>
      </c>
      <c r="AA575" t="s">
        <v>652</v>
      </c>
      <c r="AB575">
        <v>0</v>
      </c>
      <c r="AK575" t="s">
        <v>642</v>
      </c>
      <c r="AL575" t="s">
        <v>59</v>
      </c>
    </row>
    <row r="576" spans="1:39">
      <c r="A576" s="146">
        <v>46200.23369212963</v>
      </c>
      <c r="B576" s="146">
        <v>46199</v>
      </c>
      <c r="C576">
        <v>2325365</v>
      </c>
      <c r="D576" t="s">
        <v>414</v>
      </c>
      <c r="E576" t="s">
        <v>653</v>
      </c>
      <c r="F576" t="s">
        <v>650</v>
      </c>
      <c r="G576" t="s">
        <v>223</v>
      </c>
      <c r="H576" t="s">
        <v>641</v>
      </c>
      <c r="I576" t="s">
        <v>1120</v>
      </c>
      <c r="J576">
        <v>5230</v>
      </c>
      <c r="K576" s="141">
        <v>182.52700000000002</v>
      </c>
      <c r="O576" t="s">
        <v>1116</v>
      </c>
      <c r="P576">
        <v>1</v>
      </c>
      <c r="Q576" t="s">
        <v>1116</v>
      </c>
      <c r="U576">
        <v>30</v>
      </c>
      <c r="W576" t="s">
        <v>958</v>
      </c>
      <c r="X576" t="s">
        <v>883</v>
      </c>
      <c r="Y576" t="s">
        <v>1119</v>
      </c>
      <c r="AA576" t="s">
        <v>652</v>
      </c>
      <c r="AB576">
        <v>0</v>
      </c>
      <c r="AK576" t="s">
        <v>642</v>
      </c>
      <c r="AL576" t="s">
        <v>290</v>
      </c>
    </row>
    <row r="577" spans="1:39">
      <c r="A577" s="146">
        <v>46200.246712962966</v>
      </c>
      <c r="B577" s="146">
        <v>46199</v>
      </c>
      <c r="C577">
        <v>2228947</v>
      </c>
      <c r="D577" t="s">
        <v>416</v>
      </c>
      <c r="E577" t="s">
        <v>653</v>
      </c>
      <c r="F577" t="s">
        <v>650</v>
      </c>
      <c r="G577" t="s">
        <v>230</v>
      </c>
      <c r="H577" t="s">
        <v>641</v>
      </c>
      <c r="I577" t="s">
        <v>1122</v>
      </c>
      <c r="J577">
        <v>3210</v>
      </c>
      <c r="K577" s="141">
        <v>27.927</v>
      </c>
      <c r="O577" t="s">
        <v>848</v>
      </c>
      <c r="P577">
        <v>0</v>
      </c>
      <c r="Q577" t="s">
        <v>848</v>
      </c>
      <c r="U577">
        <v>70</v>
      </c>
      <c r="W577" t="s">
        <v>958</v>
      </c>
      <c r="X577" t="s">
        <v>883</v>
      </c>
      <c r="Y577" t="s">
        <v>1121</v>
      </c>
      <c r="AA577" t="s">
        <v>647</v>
      </c>
      <c r="AB577">
        <v>0</v>
      </c>
      <c r="AK577" t="s">
        <v>642</v>
      </c>
      <c r="AL577" t="s">
        <v>290</v>
      </c>
    </row>
    <row r="578" spans="1:39">
      <c r="A578" s="146">
        <v>46200.350694444445</v>
      </c>
      <c r="B578" s="146">
        <v>46200</v>
      </c>
      <c r="C578">
        <v>2243991</v>
      </c>
      <c r="D578" t="s">
        <v>410</v>
      </c>
      <c r="E578" t="s">
        <v>659</v>
      </c>
      <c r="F578" t="s">
        <v>650</v>
      </c>
      <c r="G578" t="s">
        <v>229</v>
      </c>
      <c r="H578" t="s">
        <v>641</v>
      </c>
      <c r="I578" t="s">
        <v>1125</v>
      </c>
      <c r="J578">
        <v>1800</v>
      </c>
      <c r="K578" s="141">
        <v>128.69999999999999</v>
      </c>
      <c r="O578" t="s">
        <v>662</v>
      </c>
      <c r="P578">
        <v>0</v>
      </c>
      <c r="Q578" t="s">
        <v>662</v>
      </c>
      <c r="R578" t="s">
        <v>1123</v>
      </c>
      <c r="U578">
        <v>17</v>
      </c>
      <c r="W578" t="s">
        <v>958</v>
      </c>
      <c r="X578" t="s">
        <v>883</v>
      </c>
      <c r="Y578" t="s">
        <v>1124</v>
      </c>
      <c r="AA578" t="s">
        <v>419</v>
      </c>
      <c r="AB578">
        <v>0</v>
      </c>
      <c r="AK578" t="s">
        <v>642</v>
      </c>
      <c r="AL578" t="s">
        <v>290</v>
      </c>
    </row>
    <row r="579" spans="1:39">
      <c r="A579" s="146">
        <v>46200.489328703705</v>
      </c>
      <c r="B579" s="146">
        <v>46200</v>
      </c>
      <c r="C579">
        <v>2243991</v>
      </c>
      <c r="D579" t="s">
        <v>410</v>
      </c>
      <c r="E579" t="s">
        <v>659</v>
      </c>
      <c r="F579" t="s">
        <v>650</v>
      </c>
      <c r="G579" t="s">
        <v>244</v>
      </c>
      <c r="H579" t="s">
        <v>641</v>
      </c>
      <c r="I579" t="s">
        <v>97</v>
      </c>
      <c r="J579">
        <v>350</v>
      </c>
      <c r="K579" s="141">
        <v>25.024999999999999</v>
      </c>
      <c r="O579" t="s">
        <v>662</v>
      </c>
      <c r="P579">
        <v>0</v>
      </c>
      <c r="Q579" t="s">
        <v>662</v>
      </c>
      <c r="R579" t="s">
        <v>1123</v>
      </c>
      <c r="U579">
        <v>17</v>
      </c>
      <c r="W579" t="s">
        <v>958</v>
      </c>
      <c r="X579" t="s">
        <v>883</v>
      </c>
      <c r="Y579" t="s">
        <v>1126</v>
      </c>
      <c r="AA579" t="s">
        <v>419</v>
      </c>
      <c r="AB579">
        <v>0</v>
      </c>
      <c r="AK579" t="s">
        <v>642</v>
      </c>
      <c r="AL579" t="s">
        <v>290</v>
      </c>
    </row>
    <row r="580" spans="1:39">
      <c r="A580" s="146">
        <v>46200.516851851855</v>
      </c>
      <c r="B580" s="146">
        <v>46200</v>
      </c>
      <c r="C580">
        <v>2243991</v>
      </c>
      <c r="D580" t="s">
        <v>410</v>
      </c>
      <c r="E580" t="s">
        <v>659</v>
      </c>
      <c r="F580" t="s">
        <v>650</v>
      </c>
      <c r="G580" t="s">
        <v>230</v>
      </c>
      <c r="H580" t="s">
        <v>641</v>
      </c>
      <c r="I580" t="s">
        <v>1128</v>
      </c>
      <c r="J580">
        <v>6420</v>
      </c>
      <c r="K580" s="141">
        <v>55.853999999999999</v>
      </c>
      <c r="O580" t="s">
        <v>848</v>
      </c>
      <c r="P580">
        <v>0</v>
      </c>
      <c r="Q580" t="s">
        <v>848</v>
      </c>
      <c r="U580">
        <v>60</v>
      </c>
      <c r="W580" t="s">
        <v>958</v>
      </c>
      <c r="X580" t="s">
        <v>883</v>
      </c>
      <c r="Y580" t="s">
        <v>1127</v>
      </c>
      <c r="AA580" t="s">
        <v>647</v>
      </c>
      <c r="AB580">
        <v>0</v>
      </c>
      <c r="AK580" t="s">
        <v>642</v>
      </c>
      <c r="AL580" t="s">
        <v>290</v>
      </c>
    </row>
    <row r="581" spans="1:39">
      <c r="A581" s="146">
        <v>46200.559166666666</v>
      </c>
      <c r="B581" s="146">
        <v>46200</v>
      </c>
      <c r="C581">
        <v>2020488</v>
      </c>
      <c r="D581" t="s">
        <v>383</v>
      </c>
      <c r="E581" t="s">
        <v>659</v>
      </c>
      <c r="F581" t="s">
        <v>650</v>
      </c>
      <c r="G581" t="s">
        <v>222</v>
      </c>
      <c r="H581" t="s">
        <v>641</v>
      </c>
      <c r="I581" t="s">
        <v>1131</v>
      </c>
      <c r="J581">
        <v>1510</v>
      </c>
      <c r="K581" s="141">
        <v>27.029</v>
      </c>
      <c r="O581" t="s">
        <v>848</v>
      </c>
      <c r="P581">
        <v>0</v>
      </c>
      <c r="Q581" t="s">
        <v>848</v>
      </c>
      <c r="U581">
        <v>50</v>
      </c>
      <c r="W581" t="s">
        <v>958</v>
      </c>
      <c r="X581" t="s">
        <v>883</v>
      </c>
      <c r="Y581" t="s">
        <v>1129</v>
      </c>
      <c r="AA581" t="s">
        <v>647</v>
      </c>
      <c r="AB581">
        <v>0</v>
      </c>
      <c r="AK581" t="s">
        <v>642</v>
      </c>
      <c r="AL581" t="s">
        <v>290</v>
      </c>
    </row>
    <row r="582" spans="1:39">
      <c r="A582" s="146">
        <v>46200.559664351851</v>
      </c>
      <c r="B582" s="146">
        <v>46200</v>
      </c>
      <c r="C582">
        <v>2020488</v>
      </c>
      <c r="D582" t="s">
        <v>383</v>
      </c>
      <c r="E582" t="s">
        <v>659</v>
      </c>
      <c r="F582" t="s">
        <v>650</v>
      </c>
      <c r="G582" t="s">
        <v>234</v>
      </c>
      <c r="H582" t="s">
        <v>641</v>
      </c>
      <c r="I582" t="s">
        <v>1132</v>
      </c>
      <c r="J582">
        <v>930</v>
      </c>
      <c r="K582" s="141">
        <v>32.457000000000001</v>
      </c>
      <c r="O582" t="s">
        <v>848</v>
      </c>
      <c r="P582">
        <v>0</v>
      </c>
      <c r="Q582" t="s">
        <v>848</v>
      </c>
      <c r="U582">
        <v>30</v>
      </c>
      <c r="W582" t="s">
        <v>958</v>
      </c>
      <c r="X582" t="s">
        <v>883</v>
      </c>
      <c r="Y582" t="s">
        <v>1130</v>
      </c>
      <c r="AA582" t="s">
        <v>647</v>
      </c>
      <c r="AB582">
        <v>0</v>
      </c>
      <c r="AK582" t="s">
        <v>642</v>
      </c>
      <c r="AL582" t="s">
        <v>290</v>
      </c>
    </row>
    <row r="583" spans="1:39">
      <c r="A583" s="146">
        <v>46200.561493055553</v>
      </c>
      <c r="B583" s="146">
        <v>46200</v>
      </c>
      <c r="C583">
        <v>2222785</v>
      </c>
      <c r="D583" t="s">
        <v>399</v>
      </c>
      <c r="E583" t="s">
        <v>659</v>
      </c>
      <c r="F583" t="s">
        <v>650</v>
      </c>
      <c r="G583" t="s">
        <v>1133</v>
      </c>
      <c r="H583" t="s">
        <v>641</v>
      </c>
      <c r="I583" t="s">
        <v>1135</v>
      </c>
      <c r="J583">
        <v>1020</v>
      </c>
      <c r="K583" s="141">
        <v>72.929999999999993</v>
      </c>
      <c r="O583" t="s">
        <v>848</v>
      </c>
      <c r="P583">
        <v>0</v>
      </c>
      <c r="Q583" t="s">
        <v>848</v>
      </c>
      <c r="U583">
        <v>17</v>
      </c>
      <c r="W583" t="s">
        <v>958</v>
      </c>
      <c r="X583" t="s">
        <v>883</v>
      </c>
      <c r="Y583" t="s">
        <v>1134</v>
      </c>
      <c r="AA583" t="s">
        <v>647</v>
      </c>
      <c r="AB583">
        <v>0</v>
      </c>
      <c r="AK583" t="s">
        <v>642</v>
      </c>
      <c r="AL583" t="s">
        <v>670</v>
      </c>
    </row>
    <row r="584" spans="1:39">
      <c r="A584" s="146">
        <v>46200.561493055553</v>
      </c>
      <c r="B584" s="146">
        <v>46200</v>
      </c>
      <c r="C584">
        <v>2222785</v>
      </c>
      <c r="D584" t="s">
        <v>399</v>
      </c>
      <c r="E584" t="s">
        <v>659</v>
      </c>
      <c r="F584" t="s">
        <v>650</v>
      </c>
      <c r="G584" t="s">
        <v>227</v>
      </c>
      <c r="H584" t="s">
        <v>641</v>
      </c>
      <c r="I584" t="s">
        <v>1138</v>
      </c>
      <c r="J584">
        <v>3020</v>
      </c>
      <c r="K584" s="141">
        <v>60</v>
      </c>
      <c r="O584" t="s">
        <v>662</v>
      </c>
      <c r="P584">
        <v>0</v>
      </c>
      <c r="Q584" t="s">
        <v>662</v>
      </c>
      <c r="U584">
        <v>47</v>
      </c>
      <c r="W584" t="s">
        <v>958</v>
      </c>
      <c r="X584" t="s">
        <v>883</v>
      </c>
      <c r="Y584" t="s">
        <v>1079</v>
      </c>
      <c r="AA584" t="s">
        <v>419</v>
      </c>
      <c r="AB584">
        <v>0</v>
      </c>
      <c r="AK584" t="s">
        <v>642</v>
      </c>
      <c r="AL584" t="s">
        <v>290</v>
      </c>
    </row>
    <row r="585" spans="1:39">
      <c r="A585" s="146">
        <v>46200.575138888889</v>
      </c>
      <c r="B585" s="146">
        <v>46200</v>
      </c>
      <c r="C585">
        <v>2325374</v>
      </c>
      <c r="D585" t="s">
        <v>415</v>
      </c>
      <c r="E585" t="s">
        <v>659</v>
      </c>
      <c r="F585" t="s">
        <v>650</v>
      </c>
      <c r="G585" t="s">
        <v>222</v>
      </c>
      <c r="H585" t="s">
        <v>641</v>
      </c>
      <c r="I585" t="s">
        <v>1140</v>
      </c>
      <c r="J585">
        <v>5000</v>
      </c>
      <c r="K585" s="141">
        <v>89.5</v>
      </c>
      <c r="O585" t="s">
        <v>848</v>
      </c>
      <c r="P585">
        <v>0</v>
      </c>
      <c r="Q585" t="s">
        <v>848</v>
      </c>
      <c r="R585" t="s">
        <v>1136</v>
      </c>
      <c r="U585">
        <v>50</v>
      </c>
      <c r="W585" t="s">
        <v>958</v>
      </c>
      <c r="X585" t="s">
        <v>883</v>
      </c>
      <c r="Y585" t="s">
        <v>1137</v>
      </c>
      <c r="AA585" t="s">
        <v>647</v>
      </c>
      <c r="AB585">
        <v>0</v>
      </c>
      <c r="AK585" t="s">
        <v>642</v>
      </c>
      <c r="AL585" t="s">
        <v>290</v>
      </c>
    </row>
    <row r="586" spans="1:39">
      <c r="A586" s="146">
        <v>46200.57640046296</v>
      </c>
      <c r="B586" s="146">
        <v>46200</v>
      </c>
      <c r="C586">
        <v>2325374</v>
      </c>
      <c r="D586" t="s">
        <v>415</v>
      </c>
      <c r="E586" t="s">
        <v>659</v>
      </c>
      <c r="F586" t="s">
        <v>650</v>
      </c>
      <c r="G586" t="s">
        <v>228</v>
      </c>
      <c r="H586" t="s">
        <v>641</v>
      </c>
      <c r="I586" t="s">
        <v>1141</v>
      </c>
      <c r="J586">
        <v>1230</v>
      </c>
      <c r="K586" s="141">
        <v>63.468000000000004</v>
      </c>
      <c r="O586" t="s">
        <v>665</v>
      </c>
      <c r="P586">
        <v>0</v>
      </c>
      <c r="Q586" t="s">
        <v>665</v>
      </c>
      <c r="U586">
        <v>21</v>
      </c>
      <c r="W586" t="s">
        <v>958</v>
      </c>
      <c r="X586" t="s">
        <v>883</v>
      </c>
      <c r="Y586" t="s">
        <v>1139</v>
      </c>
      <c r="AA586" t="s">
        <v>652</v>
      </c>
      <c r="AB586">
        <v>0</v>
      </c>
      <c r="AK586" t="s">
        <v>642</v>
      </c>
      <c r="AL586" t="s">
        <v>59</v>
      </c>
    </row>
    <row r="587" spans="1:39">
      <c r="A587" s="146">
        <v>46200.843182870369</v>
      </c>
      <c r="B587" s="146">
        <v>46200</v>
      </c>
      <c r="C587">
        <v>2241656</v>
      </c>
      <c r="D587" t="s">
        <v>409</v>
      </c>
      <c r="E587" t="s">
        <v>643</v>
      </c>
      <c r="F587" t="s">
        <v>650</v>
      </c>
      <c r="G587" t="s">
        <v>227</v>
      </c>
      <c r="H587" t="s">
        <v>641</v>
      </c>
      <c r="I587" t="s">
        <v>1143</v>
      </c>
      <c r="J587">
        <v>1510</v>
      </c>
      <c r="K587" s="141">
        <v>27.029</v>
      </c>
      <c r="O587" t="s">
        <v>755</v>
      </c>
      <c r="P587">
        <v>0</v>
      </c>
      <c r="Q587" t="s">
        <v>755</v>
      </c>
      <c r="U587">
        <v>40</v>
      </c>
      <c r="W587" t="s">
        <v>958</v>
      </c>
      <c r="X587" t="s">
        <v>883</v>
      </c>
      <c r="Y587" t="s">
        <v>1142</v>
      </c>
      <c r="AA587" t="s">
        <v>419</v>
      </c>
      <c r="AB587">
        <v>0</v>
      </c>
      <c r="AK587" t="s">
        <v>642</v>
      </c>
      <c r="AL587" t="s">
        <v>290</v>
      </c>
    </row>
    <row r="588" spans="1:39">
      <c r="A588" s="146">
        <v>46200.843182870369</v>
      </c>
      <c r="B588" s="146">
        <v>46200</v>
      </c>
      <c r="C588">
        <v>2241656</v>
      </c>
      <c r="D588" t="s">
        <v>409</v>
      </c>
      <c r="E588" t="s">
        <v>643</v>
      </c>
      <c r="F588" t="s">
        <v>650</v>
      </c>
      <c r="G588" t="s">
        <v>227</v>
      </c>
      <c r="H588" t="s">
        <v>641</v>
      </c>
      <c r="I588" t="s">
        <v>1144</v>
      </c>
      <c r="J588">
        <v>1510</v>
      </c>
      <c r="K588" s="141">
        <v>27.029</v>
      </c>
      <c r="O588" t="s">
        <v>755</v>
      </c>
      <c r="P588">
        <v>0</v>
      </c>
      <c r="Q588" t="s">
        <v>755</v>
      </c>
      <c r="U588">
        <v>40</v>
      </c>
      <c r="W588" t="s">
        <v>958</v>
      </c>
      <c r="X588" t="s">
        <v>883</v>
      </c>
      <c r="Y588" t="s">
        <v>1142</v>
      </c>
      <c r="AA588" t="s">
        <v>419</v>
      </c>
      <c r="AB588">
        <v>0</v>
      </c>
      <c r="AK588" t="s">
        <v>642</v>
      </c>
      <c r="AL588" t="s">
        <v>290</v>
      </c>
    </row>
    <row r="589" spans="1:39">
      <c r="A589" s="146">
        <v>46200.843182870369</v>
      </c>
      <c r="B589" s="146">
        <v>46200</v>
      </c>
      <c r="C589">
        <v>2241656</v>
      </c>
      <c r="D589" t="s">
        <v>409</v>
      </c>
      <c r="E589" t="s">
        <v>643</v>
      </c>
      <c r="F589" t="s">
        <v>650</v>
      </c>
      <c r="G589" t="s">
        <v>227</v>
      </c>
      <c r="H589" t="s">
        <v>641</v>
      </c>
      <c r="I589" t="s">
        <v>1145</v>
      </c>
      <c r="J589">
        <v>1510</v>
      </c>
      <c r="K589" s="141">
        <v>27.029</v>
      </c>
      <c r="O589" t="s">
        <v>755</v>
      </c>
      <c r="P589">
        <v>0</v>
      </c>
      <c r="Q589" t="s">
        <v>755</v>
      </c>
      <c r="U589">
        <v>40</v>
      </c>
      <c r="W589" t="s">
        <v>958</v>
      </c>
      <c r="X589" t="s">
        <v>883</v>
      </c>
      <c r="Y589" t="s">
        <v>1142</v>
      </c>
      <c r="AA589" t="s">
        <v>419</v>
      </c>
      <c r="AB589">
        <v>0</v>
      </c>
      <c r="AK589" t="s">
        <v>642</v>
      </c>
      <c r="AL589" t="s">
        <v>290</v>
      </c>
    </row>
    <row r="590" spans="1:39">
      <c r="A590" s="146">
        <v>46200.843182870369</v>
      </c>
      <c r="B590" s="146">
        <v>46200</v>
      </c>
      <c r="C590">
        <v>2241656</v>
      </c>
      <c r="D590" t="s">
        <v>409</v>
      </c>
      <c r="E590" t="s">
        <v>643</v>
      </c>
      <c r="F590" t="s">
        <v>650</v>
      </c>
      <c r="G590" t="s">
        <v>1146</v>
      </c>
      <c r="H590" t="s">
        <v>641</v>
      </c>
      <c r="I590" t="s">
        <v>1147</v>
      </c>
      <c r="J590">
        <v>1510</v>
      </c>
      <c r="K590" s="141">
        <v>27.029</v>
      </c>
      <c r="O590" t="s">
        <v>755</v>
      </c>
      <c r="P590">
        <v>0</v>
      </c>
      <c r="Q590" t="s">
        <v>755</v>
      </c>
      <c r="U590">
        <v>40</v>
      </c>
      <c r="W590" t="s">
        <v>958</v>
      </c>
      <c r="X590" t="s">
        <v>883</v>
      </c>
      <c r="Y590" t="s">
        <v>1142</v>
      </c>
      <c r="AA590" t="s">
        <v>419</v>
      </c>
      <c r="AB590">
        <v>0</v>
      </c>
      <c r="AK590" t="s">
        <v>642</v>
      </c>
      <c r="AL590" t="s">
        <v>290</v>
      </c>
    </row>
    <row r="591" spans="1:39">
      <c r="A591" s="146">
        <v>46200.878391203703</v>
      </c>
      <c r="B591" s="146">
        <v>46200</v>
      </c>
      <c r="C591">
        <v>2222332</v>
      </c>
      <c r="D591" t="s">
        <v>406</v>
      </c>
      <c r="E591" t="s">
        <v>643</v>
      </c>
      <c r="F591" t="s">
        <v>650</v>
      </c>
      <c r="G591" t="s">
        <v>229</v>
      </c>
      <c r="H591" t="s">
        <v>641</v>
      </c>
      <c r="I591" t="s">
        <v>1149</v>
      </c>
      <c r="J591">
        <v>1020</v>
      </c>
      <c r="K591" s="141">
        <v>72.929999999999993</v>
      </c>
      <c r="O591" t="s">
        <v>755</v>
      </c>
      <c r="P591">
        <v>0</v>
      </c>
      <c r="Q591" t="s">
        <v>755</v>
      </c>
      <c r="U591">
        <v>17</v>
      </c>
      <c r="W591" t="s">
        <v>958</v>
      </c>
      <c r="X591" t="s">
        <v>883</v>
      </c>
      <c r="Y591" t="s">
        <v>1148</v>
      </c>
      <c r="AA591" t="s">
        <v>419</v>
      </c>
      <c r="AB591">
        <v>0</v>
      </c>
      <c r="AK591" t="s">
        <v>642</v>
      </c>
      <c r="AL591" t="s">
        <v>290</v>
      </c>
    </row>
    <row r="592" spans="1:39">
      <c r="A592" s="146">
        <v>46200.89166666667</v>
      </c>
      <c r="B592" s="146">
        <v>46200</v>
      </c>
      <c r="C592">
        <v>2021131</v>
      </c>
      <c r="D592" t="s">
        <v>387</v>
      </c>
      <c r="E592" t="s">
        <v>643</v>
      </c>
      <c r="F592" t="s">
        <v>654</v>
      </c>
      <c r="G592" t="s">
        <v>1152</v>
      </c>
      <c r="H592" t="s">
        <v>641</v>
      </c>
      <c r="I592" t="s">
        <v>96</v>
      </c>
      <c r="J592">
        <v>3020</v>
      </c>
      <c r="K592" s="141">
        <v>60.701999999999998</v>
      </c>
      <c r="L592">
        <v>0</v>
      </c>
      <c r="M592">
        <v>0</v>
      </c>
      <c r="N592">
        <v>60.701999999999998</v>
      </c>
      <c r="O592" t="s">
        <v>755</v>
      </c>
      <c r="P592">
        <v>0</v>
      </c>
      <c r="Q592" t="s">
        <v>755</v>
      </c>
      <c r="S592">
        <v>0</v>
      </c>
      <c r="T592">
        <v>1.1000000000000001</v>
      </c>
      <c r="U592">
        <v>45</v>
      </c>
      <c r="V592">
        <v>1.0168350168350169</v>
      </c>
      <c r="W592" t="s">
        <v>958</v>
      </c>
      <c r="X592" t="s">
        <v>883</v>
      </c>
      <c r="Y592" t="s">
        <v>1153</v>
      </c>
      <c r="AA592" t="s">
        <v>419</v>
      </c>
      <c r="AB592">
        <v>0</v>
      </c>
      <c r="AG592">
        <v>2</v>
      </c>
      <c r="AH592">
        <v>3020</v>
      </c>
      <c r="AK592" t="s">
        <v>642</v>
      </c>
      <c r="AL592" t="s">
        <v>670</v>
      </c>
      <c r="AM592">
        <v>1</v>
      </c>
    </row>
    <row r="593" spans="1:40">
      <c r="A593" s="146">
        <v>46200.88181712963</v>
      </c>
      <c r="B593" s="146">
        <v>46200</v>
      </c>
      <c r="C593">
        <v>2021645</v>
      </c>
      <c r="D593" t="s">
        <v>629</v>
      </c>
      <c r="E593" t="s">
        <v>643</v>
      </c>
      <c r="F593" t="s">
        <v>650</v>
      </c>
      <c r="G593" t="s">
        <v>226</v>
      </c>
      <c r="H593" t="s">
        <v>641</v>
      </c>
      <c r="I593" t="s">
        <v>86</v>
      </c>
      <c r="J593">
        <v>3210</v>
      </c>
      <c r="K593" s="141">
        <v>27.927</v>
      </c>
      <c r="O593" t="s">
        <v>755</v>
      </c>
      <c r="P593">
        <v>0</v>
      </c>
      <c r="Q593" t="s">
        <v>755</v>
      </c>
      <c r="U593">
        <v>60</v>
      </c>
      <c r="W593" t="s">
        <v>958</v>
      </c>
      <c r="X593" t="s">
        <v>883</v>
      </c>
      <c r="Y593" t="s">
        <v>1150</v>
      </c>
      <c r="AA593" t="s">
        <v>419</v>
      </c>
      <c r="AB593">
        <v>0</v>
      </c>
      <c r="AK593" t="s">
        <v>642</v>
      </c>
      <c r="AL593" t="s">
        <v>59</v>
      </c>
    </row>
    <row r="594" spans="1:40">
      <c r="A594" s="146">
        <v>46200.885069444441</v>
      </c>
      <c r="B594" s="146">
        <v>46200</v>
      </c>
      <c r="C594">
        <v>2223535</v>
      </c>
      <c r="D594" t="s">
        <v>400</v>
      </c>
      <c r="E594" t="s">
        <v>643</v>
      </c>
      <c r="F594" t="s">
        <v>650</v>
      </c>
      <c r="G594" t="s">
        <v>244</v>
      </c>
      <c r="H594" t="s">
        <v>641</v>
      </c>
      <c r="I594" t="s">
        <v>97</v>
      </c>
      <c r="J594">
        <v>1020</v>
      </c>
      <c r="K594" s="141">
        <v>72.929999999999993</v>
      </c>
      <c r="O594" t="s">
        <v>755</v>
      </c>
      <c r="P594">
        <v>0</v>
      </c>
      <c r="Q594" t="s">
        <v>755</v>
      </c>
      <c r="U594">
        <v>17</v>
      </c>
      <c r="W594" t="s">
        <v>958</v>
      </c>
      <c r="X594" t="s">
        <v>883</v>
      </c>
      <c r="Y594" t="s">
        <v>1151</v>
      </c>
      <c r="AA594" t="s">
        <v>419</v>
      </c>
      <c r="AB594">
        <v>0</v>
      </c>
      <c r="AK594" t="s">
        <v>642</v>
      </c>
      <c r="AL594" t="s">
        <v>290</v>
      </c>
    </row>
    <row r="595" spans="1:40">
      <c r="A595" s="146">
        <v>46201.112060185187</v>
      </c>
      <c r="B595" s="146">
        <v>46200</v>
      </c>
      <c r="C595">
        <v>2221908</v>
      </c>
      <c r="D595" t="s">
        <v>398</v>
      </c>
      <c r="E595" t="s">
        <v>653</v>
      </c>
      <c r="F595" t="s">
        <v>650</v>
      </c>
      <c r="G595" t="s">
        <v>228</v>
      </c>
      <c r="H595" t="s">
        <v>641</v>
      </c>
      <c r="I595" t="s">
        <v>1155</v>
      </c>
      <c r="J595">
        <v>615</v>
      </c>
      <c r="K595" s="141">
        <v>31.734000000000002</v>
      </c>
      <c r="O595" t="s">
        <v>651</v>
      </c>
      <c r="P595">
        <v>1</v>
      </c>
      <c r="Q595" t="s">
        <v>651</v>
      </c>
      <c r="U595">
        <v>21</v>
      </c>
      <c r="W595" t="s">
        <v>958</v>
      </c>
      <c r="X595" t="s">
        <v>883</v>
      </c>
      <c r="Y595" t="s">
        <v>1154</v>
      </c>
      <c r="AA595" t="s">
        <v>652</v>
      </c>
      <c r="AB595">
        <v>0</v>
      </c>
      <c r="AK595" t="s">
        <v>642</v>
      </c>
      <c r="AL595" t="s">
        <v>59</v>
      </c>
    </row>
    <row r="596" spans="1:40">
      <c r="A596" s="146">
        <v>46201.177361111113</v>
      </c>
      <c r="B596" s="146">
        <v>46200</v>
      </c>
      <c r="C596">
        <v>2221908</v>
      </c>
      <c r="D596" t="s">
        <v>398</v>
      </c>
      <c r="E596" t="s">
        <v>653</v>
      </c>
      <c r="F596" t="s">
        <v>650</v>
      </c>
      <c r="G596" t="s">
        <v>226</v>
      </c>
      <c r="H596" t="s">
        <v>641</v>
      </c>
      <c r="I596" t="s">
        <v>1157</v>
      </c>
      <c r="J596">
        <v>5110</v>
      </c>
      <c r="K596" s="141">
        <v>44.456999999999994</v>
      </c>
      <c r="O596" t="s">
        <v>679</v>
      </c>
      <c r="P596">
        <v>0</v>
      </c>
      <c r="Q596" t="s">
        <v>679</v>
      </c>
      <c r="U596">
        <v>60</v>
      </c>
      <c r="W596" t="s">
        <v>958</v>
      </c>
      <c r="X596" t="s">
        <v>883</v>
      </c>
      <c r="Y596" t="s">
        <v>1156</v>
      </c>
      <c r="AA596" t="s">
        <v>647</v>
      </c>
      <c r="AB596">
        <v>0</v>
      </c>
      <c r="AK596" t="s">
        <v>642</v>
      </c>
      <c r="AL596" t="s">
        <v>59</v>
      </c>
    </row>
    <row r="597" spans="1:40">
      <c r="A597" s="146">
        <v>46201.177361111113</v>
      </c>
      <c r="B597" s="146">
        <v>46200</v>
      </c>
      <c r="C597">
        <v>2020965</v>
      </c>
      <c r="D597" t="s">
        <v>386</v>
      </c>
      <c r="E597" t="s">
        <v>653</v>
      </c>
      <c r="F597" t="s">
        <v>650</v>
      </c>
      <c r="G597" t="s">
        <v>227</v>
      </c>
      <c r="H597" t="s">
        <v>641</v>
      </c>
      <c r="I597" t="s">
        <v>1158</v>
      </c>
      <c r="J597">
        <v>1510</v>
      </c>
      <c r="K597" s="141">
        <v>27.029</v>
      </c>
      <c r="O597" t="s">
        <v>755</v>
      </c>
      <c r="P597">
        <v>0</v>
      </c>
      <c r="Q597" t="s">
        <v>755</v>
      </c>
      <c r="U597">
        <v>40</v>
      </c>
      <c r="W597" t="s">
        <v>958</v>
      </c>
      <c r="X597" t="s">
        <v>883</v>
      </c>
      <c r="Y597" t="s">
        <v>1142</v>
      </c>
      <c r="AA597" t="s">
        <v>419</v>
      </c>
      <c r="AB597">
        <v>0</v>
      </c>
      <c r="AK597" t="s">
        <v>642</v>
      </c>
      <c r="AL597" t="s">
        <v>290</v>
      </c>
    </row>
    <row r="598" spans="1:40">
      <c r="A598" s="146">
        <v>46201.177361111113</v>
      </c>
      <c r="B598" s="146">
        <v>46200</v>
      </c>
      <c r="C598">
        <v>2020965</v>
      </c>
      <c r="D598" t="s">
        <v>386</v>
      </c>
      <c r="E598" t="s">
        <v>653</v>
      </c>
      <c r="F598" t="s">
        <v>650</v>
      </c>
      <c r="G598" t="s">
        <v>262</v>
      </c>
      <c r="H598" t="s">
        <v>641</v>
      </c>
      <c r="I598" t="s">
        <v>1159</v>
      </c>
      <c r="J598">
        <v>3020</v>
      </c>
      <c r="K598" s="141">
        <v>60.701999999999998</v>
      </c>
      <c r="L598">
        <v>0</v>
      </c>
      <c r="M598">
        <v>0</v>
      </c>
      <c r="N598">
        <v>60.701999999999998</v>
      </c>
      <c r="O598" t="s">
        <v>755</v>
      </c>
      <c r="P598">
        <v>0</v>
      </c>
      <c r="Q598" t="s">
        <v>755</v>
      </c>
      <c r="S598">
        <v>0</v>
      </c>
      <c r="T598">
        <v>1.1000000000000001</v>
      </c>
      <c r="U598">
        <v>45</v>
      </c>
      <c r="V598">
        <v>1.0168350168350169</v>
      </c>
      <c r="W598" t="s">
        <v>958</v>
      </c>
      <c r="X598" t="s">
        <v>883</v>
      </c>
      <c r="Y598" t="s">
        <v>1153</v>
      </c>
      <c r="AA598" t="s">
        <v>419</v>
      </c>
      <c r="AB598">
        <v>0</v>
      </c>
      <c r="AG598">
        <v>2</v>
      </c>
      <c r="AH598">
        <v>3020</v>
      </c>
      <c r="AK598" t="s">
        <v>642</v>
      </c>
      <c r="AL598" t="s">
        <v>670</v>
      </c>
      <c r="AM598">
        <v>1</v>
      </c>
    </row>
    <row r="599" spans="1:40">
      <c r="A599" s="146">
        <v>46202.411377314813</v>
      </c>
      <c r="B599" s="146">
        <v>46202</v>
      </c>
      <c r="C599">
        <v>2020390</v>
      </c>
      <c r="D599" t="s">
        <v>382</v>
      </c>
      <c r="E599" t="s">
        <v>659</v>
      </c>
      <c r="F599" t="s">
        <v>650</v>
      </c>
      <c r="G599" t="s">
        <v>250</v>
      </c>
      <c r="H599" t="s">
        <v>641</v>
      </c>
      <c r="I599" t="s">
        <v>1162</v>
      </c>
      <c r="J599">
        <v>840</v>
      </c>
      <c r="K599" s="141">
        <v>58.548000000000002</v>
      </c>
      <c r="O599" t="s">
        <v>677</v>
      </c>
      <c r="P599">
        <v>0</v>
      </c>
      <c r="Q599" t="s">
        <v>677</v>
      </c>
      <c r="R599" t="s">
        <v>1160</v>
      </c>
      <c r="U599">
        <v>10</v>
      </c>
      <c r="W599" t="s">
        <v>958</v>
      </c>
      <c r="X599" t="s">
        <v>883</v>
      </c>
      <c r="Y599" t="s">
        <v>1161</v>
      </c>
      <c r="AA599" t="s">
        <v>647</v>
      </c>
      <c r="AB599">
        <v>0</v>
      </c>
      <c r="AK599" t="s">
        <v>642</v>
      </c>
      <c r="AL599" t="s">
        <v>290</v>
      </c>
    </row>
    <row r="600" spans="1:40">
      <c r="A600" s="146">
        <v>46202.833819444444</v>
      </c>
      <c r="B600" s="146">
        <v>46202</v>
      </c>
      <c r="C600">
        <v>1921551</v>
      </c>
      <c r="D600" t="s">
        <v>380</v>
      </c>
      <c r="E600" t="s">
        <v>659</v>
      </c>
      <c r="F600" t="s">
        <v>650</v>
      </c>
      <c r="G600" t="s">
        <v>230</v>
      </c>
      <c r="H600" t="s">
        <v>641</v>
      </c>
      <c r="I600" t="s">
        <v>1164</v>
      </c>
      <c r="J600">
        <v>3210</v>
      </c>
      <c r="K600" s="141">
        <v>27</v>
      </c>
      <c r="O600" t="s">
        <v>677</v>
      </c>
      <c r="P600">
        <v>0</v>
      </c>
      <c r="Q600" t="s">
        <v>677</v>
      </c>
      <c r="U600">
        <v>60</v>
      </c>
      <c r="W600" t="s">
        <v>958</v>
      </c>
      <c r="X600" t="s">
        <v>883</v>
      </c>
      <c r="Y600" t="s">
        <v>1163</v>
      </c>
      <c r="AA600" t="s">
        <v>647</v>
      </c>
      <c r="AB600">
        <v>0</v>
      </c>
      <c r="AK600" t="s">
        <v>642</v>
      </c>
      <c r="AL600" t="s">
        <v>290</v>
      </c>
    </row>
    <row r="601" spans="1:40">
      <c r="A601" s="146">
        <v>46202.855381944442</v>
      </c>
      <c r="B601" s="146">
        <v>46202</v>
      </c>
      <c r="C601">
        <v>2325295</v>
      </c>
      <c r="D601" t="s">
        <v>411</v>
      </c>
      <c r="E601" t="s">
        <v>643</v>
      </c>
      <c r="F601" t="s">
        <v>650</v>
      </c>
      <c r="G601" t="s">
        <v>233</v>
      </c>
      <c r="H601" t="s">
        <v>641</v>
      </c>
      <c r="I601" t="s">
        <v>1166</v>
      </c>
      <c r="J601">
        <v>850</v>
      </c>
      <c r="K601" s="141">
        <v>43.86</v>
      </c>
      <c r="O601" t="s">
        <v>677</v>
      </c>
      <c r="P601">
        <v>0</v>
      </c>
      <c r="Q601" t="s">
        <v>677</v>
      </c>
      <c r="U601">
        <v>27</v>
      </c>
      <c r="W601" t="s">
        <v>958</v>
      </c>
      <c r="X601" t="s">
        <v>883</v>
      </c>
      <c r="Y601" t="s">
        <v>1165</v>
      </c>
      <c r="AA601" t="s">
        <v>647</v>
      </c>
      <c r="AB601">
        <v>0</v>
      </c>
      <c r="AK601" t="s">
        <v>642</v>
      </c>
      <c r="AL601" t="s">
        <v>290</v>
      </c>
    </row>
    <row r="602" spans="1:40">
      <c r="A602" s="146">
        <v>46202.894270833334</v>
      </c>
      <c r="B602" s="146">
        <v>46202</v>
      </c>
      <c r="C602">
        <v>2022158</v>
      </c>
      <c r="D602" t="s">
        <v>394</v>
      </c>
      <c r="E602" t="s">
        <v>643</v>
      </c>
      <c r="F602" t="s">
        <v>650</v>
      </c>
      <c r="G602" t="s">
        <v>250</v>
      </c>
      <c r="H602" t="s">
        <v>641</v>
      </c>
      <c r="I602" t="s">
        <v>99</v>
      </c>
      <c r="J602">
        <v>840</v>
      </c>
      <c r="K602" s="141">
        <v>117.096</v>
      </c>
      <c r="O602" t="s">
        <v>677</v>
      </c>
      <c r="P602">
        <v>0</v>
      </c>
      <c r="Q602" t="s">
        <v>677</v>
      </c>
      <c r="U602">
        <v>10</v>
      </c>
      <c r="W602" t="s">
        <v>958</v>
      </c>
      <c r="X602" t="s">
        <v>883</v>
      </c>
      <c r="Y602" t="s">
        <v>1167</v>
      </c>
      <c r="AA602" t="s">
        <v>419</v>
      </c>
      <c r="AB602">
        <v>0</v>
      </c>
      <c r="AK602" t="s">
        <v>642</v>
      </c>
      <c r="AL602" t="s">
        <v>290</v>
      </c>
    </row>
    <row r="603" spans="1:40">
      <c r="A603" s="146">
        <v>46202.907800925925</v>
      </c>
      <c r="B603" s="146">
        <v>46202</v>
      </c>
      <c r="C603">
        <v>2020965</v>
      </c>
      <c r="D603" t="s">
        <v>386</v>
      </c>
      <c r="E603" t="s">
        <v>643</v>
      </c>
      <c r="F603" t="s">
        <v>650</v>
      </c>
      <c r="G603" t="s">
        <v>469</v>
      </c>
      <c r="H603" t="s">
        <v>641</v>
      </c>
      <c r="I603" t="s">
        <v>96</v>
      </c>
      <c r="J603">
        <v>4420</v>
      </c>
      <c r="K603" s="141">
        <v>88.841999999999999</v>
      </c>
      <c r="O603" t="s">
        <v>925</v>
      </c>
      <c r="P603">
        <v>0</v>
      </c>
      <c r="Q603" t="s">
        <v>925</v>
      </c>
      <c r="U603">
        <v>45</v>
      </c>
      <c r="W603" t="s">
        <v>958</v>
      </c>
      <c r="X603" t="s">
        <v>883</v>
      </c>
      <c r="Y603" t="s">
        <v>1168</v>
      </c>
      <c r="AA603" t="s">
        <v>647</v>
      </c>
      <c r="AB603">
        <v>0</v>
      </c>
      <c r="AK603" t="s">
        <v>642</v>
      </c>
      <c r="AL603" t="s">
        <v>290</v>
      </c>
    </row>
    <row r="604" spans="1:40" ht="14.25" customHeight="1">
      <c r="A604" s="146">
        <v>46202.907800925925</v>
      </c>
      <c r="B604" s="146">
        <v>46202.907800925925</v>
      </c>
      <c r="C604">
        <v>2020965</v>
      </c>
      <c r="D604" t="s">
        <v>386</v>
      </c>
      <c r="E604" t="s">
        <v>643</v>
      </c>
      <c r="F604" t="s">
        <v>654</v>
      </c>
      <c r="G604" t="s">
        <v>469</v>
      </c>
      <c r="H604" t="s">
        <v>641</v>
      </c>
      <c r="I604" t="s">
        <v>96</v>
      </c>
      <c r="J604">
        <v>6040</v>
      </c>
      <c r="K604">
        <v>121.404</v>
      </c>
      <c r="L604">
        <v>8</v>
      </c>
      <c r="M604">
        <v>0</v>
      </c>
      <c r="N604">
        <v>129.404</v>
      </c>
      <c r="O604" t="s">
        <v>925</v>
      </c>
      <c r="P604">
        <v>0</v>
      </c>
      <c r="Q604" t="s">
        <v>925</v>
      </c>
      <c r="S604">
        <v>2.25</v>
      </c>
      <c r="T604">
        <v>4.5</v>
      </c>
      <c r="U604">
        <v>45</v>
      </c>
      <c r="V604">
        <v>0.49711934156378601</v>
      </c>
      <c r="W604" t="s">
        <v>958</v>
      </c>
      <c r="X604" t="s">
        <v>883</v>
      </c>
      <c r="Y604" t="s">
        <v>1168</v>
      </c>
      <c r="AA604" t="s">
        <v>647</v>
      </c>
      <c r="AB604">
        <v>0</v>
      </c>
      <c r="AI604">
        <v>3</v>
      </c>
      <c r="AJ604">
        <v>6040</v>
      </c>
      <c r="AK604" t="s">
        <v>642</v>
      </c>
      <c r="AL604" t="s">
        <v>290</v>
      </c>
      <c r="AM604">
        <v>1</v>
      </c>
      <c r="AN604" s="155"/>
    </row>
    <row r="605" spans="1:40">
      <c r="A605" s="146">
        <v>46202.912083333336</v>
      </c>
      <c r="B605" s="146">
        <v>46202</v>
      </c>
      <c r="C605">
        <v>2228947</v>
      </c>
      <c r="D605" t="s">
        <v>416</v>
      </c>
      <c r="E605" t="s">
        <v>643</v>
      </c>
      <c r="F605" t="s">
        <v>650</v>
      </c>
      <c r="G605" t="s">
        <v>774</v>
      </c>
      <c r="H605" t="s">
        <v>641</v>
      </c>
      <c r="I605" t="s">
        <v>1173</v>
      </c>
      <c r="J605">
        <v>12840</v>
      </c>
      <c r="K605" s="141">
        <v>111.708</v>
      </c>
      <c r="O605" t="s">
        <v>925</v>
      </c>
      <c r="P605">
        <v>0</v>
      </c>
      <c r="Q605" t="s">
        <v>925</v>
      </c>
      <c r="U605">
        <v>70</v>
      </c>
      <c r="W605" t="s">
        <v>958</v>
      </c>
      <c r="X605" t="s">
        <v>883</v>
      </c>
      <c r="Y605" t="s">
        <v>1169</v>
      </c>
      <c r="AA605" t="s">
        <v>647</v>
      </c>
      <c r="AB605">
        <v>0</v>
      </c>
      <c r="AK605" t="s">
        <v>642</v>
      </c>
      <c r="AL605" t="s">
        <v>290</v>
      </c>
    </row>
    <row r="606" spans="1:40">
      <c r="A606" s="146">
        <v>46202.912824074076</v>
      </c>
      <c r="B606" s="146">
        <v>46202</v>
      </c>
      <c r="C606">
        <v>2228947</v>
      </c>
      <c r="D606" t="s">
        <v>416</v>
      </c>
      <c r="E606" t="s">
        <v>643</v>
      </c>
      <c r="F606" t="s">
        <v>650</v>
      </c>
      <c r="G606" t="s">
        <v>232</v>
      </c>
      <c r="H606" t="s">
        <v>641</v>
      </c>
      <c r="I606" t="s">
        <v>1174</v>
      </c>
      <c r="J606">
        <v>4660</v>
      </c>
      <c r="K606" s="141">
        <v>162.63400000000001</v>
      </c>
      <c r="O606" t="s">
        <v>662</v>
      </c>
      <c r="P606">
        <v>0</v>
      </c>
      <c r="Q606" t="s">
        <v>662</v>
      </c>
      <c r="U606">
        <v>42</v>
      </c>
      <c r="W606" t="s">
        <v>958</v>
      </c>
      <c r="X606" t="s">
        <v>883</v>
      </c>
      <c r="Y606" t="s">
        <v>1170</v>
      </c>
      <c r="AA606" t="s">
        <v>419</v>
      </c>
      <c r="AB606">
        <v>0</v>
      </c>
      <c r="AK606" t="s">
        <v>642</v>
      </c>
      <c r="AL606" t="s">
        <v>290</v>
      </c>
    </row>
    <row r="607" spans="1:40">
      <c r="A607" s="146">
        <v>46202.913298611114</v>
      </c>
      <c r="B607" s="146">
        <v>46202</v>
      </c>
      <c r="C607">
        <v>2228947</v>
      </c>
      <c r="D607" t="s">
        <v>416</v>
      </c>
      <c r="E607" t="s">
        <v>643</v>
      </c>
      <c r="F607" t="s">
        <v>650</v>
      </c>
      <c r="G607" t="s">
        <v>1171</v>
      </c>
      <c r="H607" t="s">
        <v>641</v>
      </c>
      <c r="I607" t="s">
        <v>1175</v>
      </c>
      <c r="J607">
        <v>1600</v>
      </c>
      <c r="K607" s="141">
        <v>55.84</v>
      </c>
      <c r="O607" t="s">
        <v>662</v>
      </c>
      <c r="P607">
        <v>0</v>
      </c>
      <c r="Q607" t="s">
        <v>662</v>
      </c>
      <c r="U607">
        <v>42</v>
      </c>
      <c r="W607" t="s">
        <v>958</v>
      </c>
      <c r="X607" t="s">
        <v>883</v>
      </c>
      <c r="Y607" t="s">
        <v>1172</v>
      </c>
      <c r="AA607" t="s">
        <v>419</v>
      </c>
      <c r="AB607">
        <v>0</v>
      </c>
      <c r="AK607" t="s">
        <v>642</v>
      </c>
      <c r="AL607" t="s">
        <v>290</v>
      </c>
    </row>
    <row r="608" spans="1:40">
      <c r="A608" s="146">
        <v>46203.118680555555</v>
      </c>
      <c r="B608" s="146">
        <v>46202</v>
      </c>
      <c r="C608">
        <v>2325374</v>
      </c>
      <c r="D608" t="s">
        <v>415</v>
      </c>
      <c r="E608" t="s">
        <v>653</v>
      </c>
      <c r="F608" t="s">
        <v>650</v>
      </c>
      <c r="G608" t="s">
        <v>227</v>
      </c>
      <c r="H608" t="s">
        <v>641</v>
      </c>
      <c r="I608" t="s">
        <v>1178</v>
      </c>
      <c r="J608">
        <v>1510</v>
      </c>
      <c r="K608" s="141">
        <v>27.029</v>
      </c>
      <c r="O608" t="s">
        <v>662</v>
      </c>
      <c r="P608">
        <v>0</v>
      </c>
      <c r="Q608" t="s">
        <v>662</v>
      </c>
      <c r="R608" t="s">
        <v>1176</v>
      </c>
      <c r="U608">
        <v>45</v>
      </c>
      <c r="W608" t="s">
        <v>958</v>
      </c>
      <c r="X608" t="s">
        <v>883</v>
      </c>
      <c r="Y608" t="s">
        <v>1177</v>
      </c>
      <c r="AA608" t="s">
        <v>419</v>
      </c>
      <c r="AB608">
        <v>0</v>
      </c>
      <c r="AK608" t="s">
        <v>642</v>
      </c>
      <c r="AL608" t="s">
        <v>290</v>
      </c>
    </row>
    <row r="609" spans="1:39">
      <c r="A609" s="146">
        <v>46203.205775462964</v>
      </c>
      <c r="B609" s="146">
        <v>46202</v>
      </c>
      <c r="C609">
        <v>2243991</v>
      </c>
      <c r="D609" t="s">
        <v>410</v>
      </c>
      <c r="E609" t="s">
        <v>653</v>
      </c>
      <c r="F609" t="s">
        <v>650</v>
      </c>
      <c r="G609" t="s">
        <v>232</v>
      </c>
      <c r="H609" t="s">
        <v>641</v>
      </c>
      <c r="I609" t="s">
        <v>1181</v>
      </c>
      <c r="J609">
        <v>930</v>
      </c>
      <c r="K609" s="141">
        <v>32.457000000000001</v>
      </c>
      <c r="O609" t="s">
        <v>662</v>
      </c>
      <c r="P609">
        <v>0</v>
      </c>
      <c r="Q609" t="s">
        <v>662</v>
      </c>
      <c r="R609" t="s">
        <v>1179</v>
      </c>
      <c r="U609">
        <v>30</v>
      </c>
      <c r="W609" t="s">
        <v>958</v>
      </c>
      <c r="X609" t="s">
        <v>883</v>
      </c>
      <c r="Y609" t="s">
        <v>1180</v>
      </c>
      <c r="AA609" t="s">
        <v>419</v>
      </c>
      <c r="AB609">
        <v>0</v>
      </c>
      <c r="AK609" t="s">
        <v>642</v>
      </c>
      <c r="AL609" t="s">
        <v>290</v>
      </c>
    </row>
    <row r="610" spans="1:39">
      <c r="A610" s="146">
        <v>46203.214907407404</v>
      </c>
      <c r="B610" s="146">
        <v>46202</v>
      </c>
      <c r="C610">
        <v>2224358</v>
      </c>
      <c r="D610" t="s">
        <v>417</v>
      </c>
      <c r="E610" t="s">
        <v>653</v>
      </c>
      <c r="F610" t="s">
        <v>650</v>
      </c>
      <c r="G610" t="s">
        <v>233</v>
      </c>
      <c r="H610" t="s">
        <v>641</v>
      </c>
      <c r="I610" t="s">
        <v>1187</v>
      </c>
      <c r="J610">
        <v>1230</v>
      </c>
      <c r="K610" s="141">
        <v>63.468000000000004</v>
      </c>
      <c r="O610" t="s">
        <v>662</v>
      </c>
      <c r="P610">
        <v>0</v>
      </c>
      <c r="Q610" t="s">
        <v>662</v>
      </c>
      <c r="R610" t="s">
        <v>1182</v>
      </c>
      <c r="U610">
        <v>27</v>
      </c>
      <c r="W610" t="s">
        <v>958</v>
      </c>
      <c r="X610" t="s">
        <v>883</v>
      </c>
      <c r="Y610" t="s">
        <v>1183</v>
      </c>
      <c r="AA610" t="s">
        <v>419</v>
      </c>
      <c r="AB610">
        <v>0</v>
      </c>
      <c r="AK610" t="s">
        <v>642</v>
      </c>
      <c r="AL610" t="s">
        <v>290</v>
      </c>
    </row>
    <row r="611" spans="1:39">
      <c r="A611" s="146">
        <v>46203.219548611109</v>
      </c>
      <c r="B611" s="146">
        <v>46202</v>
      </c>
      <c r="C611">
        <v>2222785</v>
      </c>
      <c r="D611" t="s">
        <v>399</v>
      </c>
      <c r="E611" t="s">
        <v>653</v>
      </c>
      <c r="F611" t="s">
        <v>650</v>
      </c>
      <c r="G611" t="s">
        <v>1184</v>
      </c>
      <c r="H611" t="s">
        <v>641</v>
      </c>
      <c r="I611" t="s">
        <v>1186</v>
      </c>
      <c r="J611">
        <v>420</v>
      </c>
      <c r="K611" s="141">
        <v>58.548000000000002</v>
      </c>
      <c r="O611" t="s">
        <v>662</v>
      </c>
      <c r="P611">
        <v>0</v>
      </c>
      <c r="Q611" t="s">
        <v>662</v>
      </c>
      <c r="U611">
        <v>10</v>
      </c>
      <c r="W611" t="s">
        <v>958</v>
      </c>
      <c r="X611" t="s">
        <v>883</v>
      </c>
      <c r="Y611" t="s">
        <v>1185</v>
      </c>
      <c r="AA611" t="s">
        <v>419</v>
      </c>
      <c r="AB611">
        <v>0</v>
      </c>
      <c r="AK611" t="s">
        <v>642</v>
      </c>
      <c r="AL611" t="s">
        <v>670</v>
      </c>
    </row>
    <row r="612" spans="1:39">
      <c r="A612" s="146">
        <v>46203.523101851853</v>
      </c>
      <c r="B612" s="146">
        <v>46203</v>
      </c>
      <c r="C612">
        <v>2222332</v>
      </c>
      <c r="D612" t="s">
        <v>406</v>
      </c>
      <c r="E612" t="s">
        <v>659</v>
      </c>
      <c r="F612" t="s">
        <v>650</v>
      </c>
      <c r="G612" t="s">
        <v>1188</v>
      </c>
      <c r="H612" t="s">
        <v>641</v>
      </c>
      <c r="I612" t="s">
        <v>1191</v>
      </c>
      <c r="J612">
        <v>1020</v>
      </c>
      <c r="K612" s="141">
        <v>72.929999999999993</v>
      </c>
      <c r="O612" t="s">
        <v>662</v>
      </c>
      <c r="P612">
        <v>0</v>
      </c>
      <c r="Q612" t="s">
        <v>662</v>
      </c>
      <c r="U612">
        <v>17</v>
      </c>
      <c r="W612" t="s">
        <v>958</v>
      </c>
      <c r="X612" t="s">
        <v>883</v>
      </c>
      <c r="Y612" t="s">
        <v>1189</v>
      </c>
      <c r="AA612" t="s">
        <v>419</v>
      </c>
      <c r="AB612">
        <v>0</v>
      </c>
      <c r="AK612" t="s">
        <v>642</v>
      </c>
      <c r="AL612" t="s">
        <v>290</v>
      </c>
    </row>
    <row r="613" spans="1:39">
      <c r="A613" s="146">
        <v>46203.524108796293</v>
      </c>
      <c r="B613" s="146">
        <v>46203</v>
      </c>
      <c r="C613">
        <v>2222332</v>
      </c>
      <c r="D613" t="s">
        <v>406</v>
      </c>
      <c r="E613" t="s">
        <v>659</v>
      </c>
      <c r="F613" t="s">
        <v>650</v>
      </c>
      <c r="G613" t="s">
        <v>227</v>
      </c>
      <c r="H613" t="s">
        <v>641</v>
      </c>
      <c r="I613" t="s">
        <v>1192</v>
      </c>
      <c r="J613">
        <v>3020</v>
      </c>
      <c r="K613" s="141">
        <v>54.058</v>
      </c>
      <c r="O613" t="s">
        <v>662</v>
      </c>
      <c r="P613">
        <v>0</v>
      </c>
      <c r="Q613" t="s">
        <v>662</v>
      </c>
      <c r="U613">
        <v>47</v>
      </c>
      <c r="W613" t="s">
        <v>958</v>
      </c>
      <c r="X613" t="s">
        <v>883</v>
      </c>
      <c r="Y613" t="s">
        <v>1190</v>
      </c>
      <c r="AA613" t="s">
        <v>419</v>
      </c>
      <c r="AB613">
        <v>0</v>
      </c>
      <c r="AK613" t="s">
        <v>642</v>
      </c>
      <c r="AL613" t="s">
        <v>290</v>
      </c>
    </row>
    <row r="614" spans="1:39">
      <c r="A614" s="146">
        <v>46203.524108796293</v>
      </c>
      <c r="B614" s="146">
        <v>46203</v>
      </c>
      <c r="C614">
        <v>2020390</v>
      </c>
      <c r="D614" t="s">
        <v>382</v>
      </c>
      <c r="E614" t="s">
        <v>659</v>
      </c>
      <c r="F614" t="s">
        <v>650</v>
      </c>
      <c r="G614" t="s">
        <v>250</v>
      </c>
      <c r="H614" t="s">
        <v>641</v>
      </c>
      <c r="I614" t="s">
        <v>1193</v>
      </c>
      <c r="J614">
        <v>420</v>
      </c>
      <c r="K614" s="141">
        <v>58.548000000000002</v>
      </c>
      <c r="O614" t="s">
        <v>677</v>
      </c>
      <c r="P614">
        <v>0</v>
      </c>
      <c r="Q614" t="s">
        <v>677</v>
      </c>
      <c r="R614" t="s">
        <v>1194</v>
      </c>
      <c r="U614">
        <v>10</v>
      </c>
      <c r="W614" t="s">
        <v>958</v>
      </c>
      <c r="X614" t="s">
        <v>883</v>
      </c>
      <c r="Y614" t="s">
        <v>1161</v>
      </c>
      <c r="AA614" t="s">
        <v>419</v>
      </c>
      <c r="AB614">
        <v>0</v>
      </c>
      <c r="AK614" t="s">
        <v>642</v>
      </c>
      <c r="AL614" t="s">
        <v>290</v>
      </c>
    </row>
    <row r="615" spans="1:39">
      <c r="A615" s="146">
        <v>46203.524108796293</v>
      </c>
      <c r="B615" s="146">
        <v>46203</v>
      </c>
      <c r="C615">
        <v>2226596</v>
      </c>
      <c r="D615" t="s">
        <v>403</v>
      </c>
      <c r="E615" t="s">
        <v>659</v>
      </c>
      <c r="F615" t="s">
        <v>650</v>
      </c>
      <c r="G615" t="s">
        <v>238</v>
      </c>
      <c r="H615" t="s">
        <v>641</v>
      </c>
      <c r="I615" t="s">
        <v>1195</v>
      </c>
      <c r="J615">
        <v>1400</v>
      </c>
      <c r="K615" s="141">
        <v>50.25</v>
      </c>
      <c r="O615" t="s">
        <v>677</v>
      </c>
      <c r="P615">
        <v>0</v>
      </c>
      <c r="Q615" t="s">
        <v>677</v>
      </c>
      <c r="R615" t="s">
        <v>1196</v>
      </c>
      <c r="U615">
        <v>30</v>
      </c>
      <c r="W615">
        <v>805</v>
      </c>
      <c r="X615" t="s">
        <v>883</v>
      </c>
      <c r="Y615" t="s">
        <v>1161</v>
      </c>
      <c r="AA615" t="s">
        <v>419</v>
      </c>
      <c r="AB615">
        <v>0</v>
      </c>
      <c r="AK615" t="s">
        <v>642</v>
      </c>
      <c r="AL615" t="s">
        <v>290</v>
      </c>
    </row>
    <row r="616" spans="1:39">
      <c r="A616" s="146">
        <v>46203.524108796293</v>
      </c>
      <c r="B616" s="146">
        <v>46203</v>
      </c>
      <c r="C616">
        <v>2226596</v>
      </c>
      <c r="D616" t="s">
        <v>403</v>
      </c>
      <c r="E616" t="s">
        <v>659</v>
      </c>
      <c r="F616" t="s">
        <v>650</v>
      </c>
      <c r="G616" t="s">
        <v>468</v>
      </c>
      <c r="H616" t="s">
        <v>641</v>
      </c>
      <c r="I616" t="s">
        <v>1197</v>
      </c>
      <c r="J616">
        <v>3210</v>
      </c>
      <c r="K616" s="141">
        <v>28.02</v>
      </c>
      <c r="O616" t="s">
        <v>925</v>
      </c>
      <c r="P616">
        <v>0</v>
      </c>
      <c r="Q616" t="s">
        <v>925</v>
      </c>
      <c r="R616" t="s">
        <v>1198</v>
      </c>
      <c r="U616">
        <v>60</v>
      </c>
      <c r="W616" t="s">
        <v>958</v>
      </c>
      <c r="X616" t="s">
        <v>883</v>
      </c>
      <c r="Y616" t="s">
        <v>1161</v>
      </c>
      <c r="AA616" t="s">
        <v>419</v>
      </c>
      <c r="AB616">
        <v>0</v>
      </c>
      <c r="AK616" t="s">
        <v>642</v>
      </c>
      <c r="AL616" t="s">
        <v>290</v>
      </c>
    </row>
    <row r="617" spans="1:39">
      <c r="A617" s="146">
        <v>46203.552916666667</v>
      </c>
      <c r="B617" s="146">
        <v>46203</v>
      </c>
      <c r="C617">
        <v>2223535</v>
      </c>
      <c r="D617" t="s">
        <v>400</v>
      </c>
      <c r="E617" t="s">
        <v>659</v>
      </c>
      <c r="F617" t="s">
        <v>650</v>
      </c>
      <c r="G617" t="s">
        <v>229</v>
      </c>
      <c r="H617" t="s">
        <v>641</v>
      </c>
      <c r="I617" t="s">
        <v>97</v>
      </c>
      <c r="J617">
        <v>1020</v>
      </c>
      <c r="K617" s="141">
        <v>72.929999999999993</v>
      </c>
      <c r="O617" t="s">
        <v>662</v>
      </c>
      <c r="P617">
        <v>0</v>
      </c>
      <c r="Q617" t="s">
        <v>662</v>
      </c>
      <c r="R617" t="s">
        <v>1199</v>
      </c>
      <c r="U617">
        <v>17</v>
      </c>
      <c r="W617" t="s">
        <v>958</v>
      </c>
      <c r="X617" t="s">
        <v>883</v>
      </c>
      <c r="Y617" t="s">
        <v>1200</v>
      </c>
      <c r="AA617" t="s">
        <v>419</v>
      </c>
      <c r="AB617">
        <v>0</v>
      </c>
      <c r="AK617" t="s">
        <v>642</v>
      </c>
      <c r="AL617" t="s">
        <v>290</v>
      </c>
    </row>
    <row r="618" spans="1:39">
      <c r="A618" s="146">
        <v>46203.56150462963</v>
      </c>
      <c r="B618" s="146">
        <v>46203</v>
      </c>
      <c r="C618">
        <v>2021645</v>
      </c>
      <c r="D618" t="s">
        <v>629</v>
      </c>
      <c r="E618" t="s">
        <v>659</v>
      </c>
      <c r="F618" t="s">
        <v>650</v>
      </c>
      <c r="G618" t="s">
        <v>230</v>
      </c>
      <c r="H618" t="s">
        <v>641</v>
      </c>
      <c r="I618" t="s">
        <v>87</v>
      </c>
      <c r="J618">
        <v>3000</v>
      </c>
      <c r="K618" s="141">
        <v>26.099999999999998</v>
      </c>
      <c r="O618" t="s">
        <v>662</v>
      </c>
      <c r="P618">
        <v>0</v>
      </c>
      <c r="Q618" t="s">
        <v>662</v>
      </c>
      <c r="U618">
        <v>70</v>
      </c>
      <c r="W618" t="s">
        <v>958</v>
      </c>
      <c r="X618" t="s">
        <v>883</v>
      </c>
      <c r="Y618" t="s">
        <v>1201</v>
      </c>
      <c r="AA618" t="s">
        <v>419</v>
      </c>
      <c r="AB618">
        <v>0</v>
      </c>
      <c r="AK618" t="s">
        <v>642</v>
      </c>
      <c r="AL618" t="s">
        <v>290</v>
      </c>
    </row>
    <row r="619" spans="1:39">
      <c r="A619" s="146">
        <v>46203.56150462963</v>
      </c>
      <c r="B619" s="146">
        <v>46203</v>
      </c>
      <c r="C619">
        <v>2021645</v>
      </c>
      <c r="D619" t="s">
        <v>629</v>
      </c>
      <c r="E619" t="s">
        <v>659</v>
      </c>
      <c r="F619" t="s">
        <v>654</v>
      </c>
      <c r="G619" t="s">
        <v>469</v>
      </c>
      <c r="H619" t="s">
        <v>641</v>
      </c>
      <c r="I619" t="s">
        <v>96</v>
      </c>
      <c r="J619">
        <v>20385</v>
      </c>
      <c r="K619" s="141">
        <v>400</v>
      </c>
      <c r="O619" t="s">
        <v>662</v>
      </c>
      <c r="P619">
        <v>0</v>
      </c>
      <c r="Q619" t="s">
        <v>662</v>
      </c>
      <c r="U619">
        <v>70</v>
      </c>
      <c r="W619" t="s">
        <v>958</v>
      </c>
      <c r="X619" t="s">
        <v>883</v>
      </c>
      <c r="Y619" t="s">
        <v>1201</v>
      </c>
      <c r="AA619" t="s">
        <v>419</v>
      </c>
      <c r="AB619">
        <v>0</v>
      </c>
      <c r="AK619" t="s">
        <v>642</v>
      </c>
      <c r="AL619" t="s">
        <v>290</v>
      </c>
    </row>
    <row r="620" spans="1:39">
      <c r="A620" s="146">
        <v>46203.858530092592</v>
      </c>
      <c r="B620" s="146">
        <v>46203</v>
      </c>
      <c r="C620">
        <v>1921551</v>
      </c>
      <c r="D620" t="s">
        <v>380</v>
      </c>
      <c r="E620" t="s">
        <v>659</v>
      </c>
      <c r="F620" t="s">
        <v>650</v>
      </c>
      <c r="G620" t="s">
        <v>229</v>
      </c>
      <c r="H620" t="s">
        <v>641</v>
      </c>
      <c r="I620" t="s">
        <v>1203</v>
      </c>
      <c r="J620">
        <v>1720</v>
      </c>
      <c r="K620" s="141">
        <v>122</v>
      </c>
      <c r="L620">
        <v>0</v>
      </c>
      <c r="M620">
        <v>0</v>
      </c>
      <c r="N620">
        <v>0</v>
      </c>
      <c r="O620" t="s">
        <v>662</v>
      </c>
      <c r="P620">
        <v>0</v>
      </c>
      <c r="Q620" t="s">
        <v>662</v>
      </c>
      <c r="S620">
        <v>0</v>
      </c>
      <c r="T620">
        <v>2</v>
      </c>
      <c r="U620">
        <v>17</v>
      </c>
      <c r="V620">
        <v>0</v>
      </c>
      <c r="W620" t="s">
        <v>958</v>
      </c>
      <c r="X620" t="s">
        <v>883</v>
      </c>
      <c r="Y620" t="s">
        <v>1202</v>
      </c>
      <c r="AA620" t="s">
        <v>419</v>
      </c>
      <c r="AB620">
        <v>0</v>
      </c>
      <c r="AK620" t="s">
        <v>642</v>
      </c>
      <c r="AL620" t="s">
        <v>290</v>
      </c>
      <c r="AM620">
        <v>3</v>
      </c>
    </row>
    <row r="621" spans="1:39">
      <c r="A621" s="146">
        <v>46203.858530092592</v>
      </c>
      <c r="B621" s="146">
        <v>46203</v>
      </c>
      <c r="C621">
        <v>1921551</v>
      </c>
      <c r="D621" t="s">
        <v>380</v>
      </c>
      <c r="E621" t="s">
        <v>659</v>
      </c>
      <c r="F621" t="s">
        <v>650</v>
      </c>
      <c r="G621" t="s">
        <v>251</v>
      </c>
      <c r="H621" t="s">
        <v>641</v>
      </c>
      <c r="I621" t="s">
        <v>1204</v>
      </c>
      <c r="J621">
        <f>800+510</f>
        <v>1310</v>
      </c>
      <c r="K621" s="141">
        <v>90</v>
      </c>
      <c r="O621" t="s">
        <v>662</v>
      </c>
      <c r="P621">
        <v>0</v>
      </c>
      <c r="Q621" t="s">
        <v>662</v>
      </c>
      <c r="U621">
        <v>17</v>
      </c>
      <c r="W621" t="s">
        <v>958</v>
      </c>
      <c r="X621" t="s">
        <v>883</v>
      </c>
      <c r="Y621" t="s">
        <v>1202</v>
      </c>
      <c r="AA621" t="s">
        <v>419</v>
      </c>
      <c r="AB621">
        <v>0</v>
      </c>
      <c r="AK621" t="s">
        <v>642</v>
      </c>
      <c r="AL621" t="s">
        <v>290</v>
      </c>
    </row>
    <row r="622" spans="1:39">
      <c r="A622" s="146">
        <v>46203.864849537036</v>
      </c>
      <c r="B622" s="146">
        <v>46203</v>
      </c>
      <c r="C622">
        <v>2325365</v>
      </c>
      <c r="D622" t="s">
        <v>414</v>
      </c>
      <c r="E622" t="s">
        <v>643</v>
      </c>
      <c r="F622" t="s">
        <v>650</v>
      </c>
      <c r="G622" t="s">
        <v>1188</v>
      </c>
      <c r="H622" t="s">
        <v>641</v>
      </c>
      <c r="I622" t="s">
        <v>1206</v>
      </c>
      <c r="J622">
        <v>1020</v>
      </c>
      <c r="K622" s="141">
        <v>72.929999999999993</v>
      </c>
      <c r="O622" t="s">
        <v>662</v>
      </c>
      <c r="P622">
        <v>0</v>
      </c>
      <c r="Q622" t="s">
        <v>662</v>
      </c>
      <c r="U622">
        <v>17</v>
      </c>
      <c r="W622" t="s">
        <v>958</v>
      </c>
      <c r="X622" t="s">
        <v>883</v>
      </c>
      <c r="Y622" t="s">
        <v>1205</v>
      </c>
      <c r="AA622" t="s">
        <v>419</v>
      </c>
      <c r="AB622">
        <v>0</v>
      </c>
      <c r="AK622" t="s">
        <v>642</v>
      </c>
      <c r="AL622" t="s">
        <v>290</v>
      </c>
    </row>
    <row r="623" spans="1:39">
      <c r="A623" s="146">
        <v>46203.874062499999</v>
      </c>
      <c r="B623" s="146">
        <v>46203</v>
      </c>
      <c r="C623">
        <v>2221908</v>
      </c>
      <c r="D623" t="s">
        <v>398</v>
      </c>
      <c r="E623" t="s">
        <v>643</v>
      </c>
      <c r="F623" t="s">
        <v>650</v>
      </c>
      <c r="G623" t="s">
        <v>1207</v>
      </c>
      <c r="H623" t="s">
        <v>641</v>
      </c>
      <c r="I623" t="s">
        <v>1211</v>
      </c>
      <c r="J623">
        <v>5110</v>
      </c>
      <c r="K623" s="141">
        <v>28.104999999999997</v>
      </c>
      <c r="O623" t="s">
        <v>679</v>
      </c>
      <c r="P623">
        <v>0</v>
      </c>
      <c r="Q623" t="s">
        <v>679</v>
      </c>
      <c r="U623">
        <v>60</v>
      </c>
      <c r="W623" t="s">
        <v>958</v>
      </c>
      <c r="X623" t="s">
        <v>883</v>
      </c>
      <c r="Y623" t="s">
        <v>1208</v>
      </c>
      <c r="AA623" t="s">
        <v>647</v>
      </c>
      <c r="AB623">
        <v>0</v>
      </c>
      <c r="AK623" t="s">
        <v>642</v>
      </c>
      <c r="AL623" t="s">
        <v>290</v>
      </c>
    </row>
    <row r="624" spans="1:39">
      <c r="A624" s="146">
        <v>46203.876898148148</v>
      </c>
      <c r="B624" s="146">
        <v>46203</v>
      </c>
      <c r="C624">
        <v>2221908</v>
      </c>
      <c r="D624" t="s">
        <v>398</v>
      </c>
      <c r="E624" t="s">
        <v>643</v>
      </c>
      <c r="F624" t="s">
        <v>650</v>
      </c>
      <c r="G624" t="s">
        <v>238</v>
      </c>
      <c r="H624" t="s">
        <v>641</v>
      </c>
      <c r="I624" t="s">
        <v>1212</v>
      </c>
      <c r="J624">
        <v>500</v>
      </c>
      <c r="K624" s="141">
        <v>17.45</v>
      </c>
      <c r="O624" t="s">
        <v>1209</v>
      </c>
      <c r="P624">
        <v>0</v>
      </c>
      <c r="Q624" t="s">
        <v>1209</v>
      </c>
      <c r="U624">
        <v>30</v>
      </c>
      <c r="W624" t="s">
        <v>958</v>
      </c>
      <c r="X624" t="s">
        <v>883</v>
      </c>
      <c r="Y624" t="s">
        <v>1210</v>
      </c>
      <c r="AA624" t="s">
        <v>419</v>
      </c>
      <c r="AB624">
        <v>0</v>
      </c>
      <c r="AK624" t="s">
        <v>642</v>
      </c>
      <c r="AL624" t="s">
        <v>290</v>
      </c>
    </row>
    <row r="625" spans="1:39">
      <c r="A625" s="146">
        <v>46203.884201388886</v>
      </c>
      <c r="B625" s="146">
        <v>46203</v>
      </c>
      <c r="C625">
        <v>2020965</v>
      </c>
      <c r="D625" t="s">
        <v>386</v>
      </c>
      <c r="E625" t="s">
        <v>643</v>
      </c>
      <c r="F625" t="s">
        <v>650</v>
      </c>
      <c r="G625" t="s">
        <v>469</v>
      </c>
      <c r="H625" t="s">
        <v>641</v>
      </c>
      <c r="I625" t="s">
        <v>96</v>
      </c>
      <c r="J625">
        <v>3720</v>
      </c>
      <c r="K625" s="141">
        <v>74.772000000000006</v>
      </c>
      <c r="O625" t="s">
        <v>925</v>
      </c>
      <c r="P625">
        <v>0</v>
      </c>
      <c r="Q625" t="s">
        <v>925</v>
      </c>
      <c r="U625">
        <v>45</v>
      </c>
      <c r="W625" t="s">
        <v>958</v>
      </c>
      <c r="X625" t="s">
        <v>883</v>
      </c>
      <c r="Y625" t="s">
        <v>1213</v>
      </c>
      <c r="AA625" t="s">
        <v>647</v>
      </c>
      <c r="AB625">
        <v>0</v>
      </c>
      <c r="AK625" t="s">
        <v>642</v>
      </c>
      <c r="AL625" t="s">
        <v>290</v>
      </c>
    </row>
    <row r="626" spans="1:39">
      <c r="A626" s="146">
        <v>46204.119513888887</v>
      </c>
      <c r="B626" s="146">
        <v>46203</v>
      </c>
      <c r="C626">
        <v>2222785</v>
      </c>
      <c r="D626" t="s">
        <v>399</v>
      </c>
      <c r="E626" t="s">
        <v>653</v>
      </c>
      <c r="F626" t="s">
        <v>650</v>
      </c>
      <c r="G626" t="s">
        <v>250</v>
      </c>
      <c r="H626" t="s">
        <v>641</v>
      </c>
      <c r="I626" t="s">
        <v>1219</v>
      </c>
      <c r="J626">
        <v>440</v>
      </c>
      <c r="K626" s="141">
        <v>61.335999999999999</v>
      </c>
      <c r="O626" t="s">
        <v>1214</v>
      </c>
      <c r="P626">
        <v>0</v>
      </c>
      <c r="Q626" t="s">
        <v>1214</v>
      </c>
      <c r="R626" t="s">
        <v>1194</v>
      </c>
      <c r="U626">
        <v>10</v>
      </c>
      <c r="W626" t="s">
        <v>958</v>
      </c>
      <c r="X626" t="s">
        <v>883</v>
      </c>
      <c r="Y626" t="s">
        <v>1215</v>
      </c>
      <c r="AA626" t="s">
        <v>419</v>
      </c>
      <c r="AB626">
        <v>0</v>
      </c>
      <c r="AK626" t="s">
        <v>642</v>
      </c>
      <c r="AL626" t="s">
        <v>290</v>
      </c>
    </row>
    <row r="627" spans="1:39">
      <c r="A627" s="146">
        <v>46204.121134259258</v>
      </c>
      <c r="B627" s="146">
        <v>46203</v>
      </c>
      <c r="C627">
        <v>2222785</v>
      </c>
      <c r="D627" t="s">
        <v>399</v>
      </c>
      <c r="E627" t="s">
        <v>653</v>
      </c>
      <c r="F627" t="s">
        <v>650</v>
      </c>
      <c r="G627" t="s">
        <v>1216</v>
      </c>
      <c r="H627" t="s">
        <v>641</v>
      </c>
      <c r="I627" t="s">
        <v>1221</v>
      </c>
      <c r="J627">
        <v>220</v>
      </c>
      <c r="K627" s="141">
        <v>30.667999999999999</v>
      </c>
      <c r="L627">
        <v>0</v>
      </c>
      <c r="M627">
        <v>0</v>
      </c>
      <c r="N627">
        <v>30.667999999999999</v>
      </c>
      <c r="O627" t="s">
        <v>1214</v>
      </c>
      <c r="P627">
        <v>0</v>
      </c>
      <c r="Q627" t="s">
        <v>1214</v>
      </c>
      <c r="S627">
        <v>0</v>
      </c>
      <c r="T627">
        <v>0.35</v>
      </c>
      <c r="U627">
        <v>10</v>
      </c>
      <c r="V627">
        <v>1.0476190476190477</v>
      </c>
      <c r="W627" t="s">
        <v>958</v>
      </c>
      <c r="X627" t="s">
        <v>883</v>
      </c>
      <c r="Y627" t="s">
        <v>1217</v>
      </c>
      <c r="AA627" t="s">
        <v>419</v>
      </c>
      <c r="AB627">
        <v>0</v>
      </c>
      <c r="AG627">
        <v>1</v>
      </c>
      <c r="AH627">
        <v>220</v>
      </c>
      <c r="AK627" t="s">
        <v>642</v>
      </c>
      <c r="AL627" t="s">
        <v>290</v>
      </c>
      <c r="AM627">
        <v>2</v>
      </c>
    </row>
    <row r="628" spans="1:39">
      <c r="A628" s="146">
        <v>46204.121134259258</v>
      </c>
      <c r="B628" s="146">
        <v>46203</v>
      </c>
      <c r="C628">
        <v>2222785</v>
      </c>
      <c r="D628" t="s">
        <v>399</v>
      </c>
      <c r="E628" t="s">
        <v>653</v>
      </c>
      <c r="F628" t="s">
        <v>650</v>
      </c>
      <c r="G628" t="s">
        <v>1218</v>
      </c>
      <c r="H628" t="s">
        <v>641</v>
      </c>
      <c r="I628" t="s">
        <v>1220</v>
      </c>
      <c r="J628">
        <v>220</v>
      </c>
      <c r="K628" s="141">
        <v>30.667999999999999</v>
      </c>
      <c r="L628">
        <v>0</v>
      </c>
      <c r="M628">
        <v>0</v>
      </c>
      <c r="N628">
        <v>30.667999999999999</v>
      </c>
      <c r="O628" t="s">
        <v>1214</v>
      </c>
      <c r="P628">
        <v>0</v>
      </c>
      <c r="Q628" t="s">
        <v>1214</v>
      </c>
      <c r="S628">
        <v>0</v>
      </c>
      <c r="T628">
        <v>0.35</v>
      </c>
      <c r="U628">
        <v>10</v>
      </c>
      <c r="V628">
        <v>1.0476190476190477</v>
      </c>
      <c r="W628" t="s">
        <v>958</v>
      </c>
      <c r="X628" t="s">
        <v>883</v>
      </c>
      <c r="Y628" t="s">
        <v>1217</v>
      </c>
      <c r="AA628" t="s">
        <v>419</v>
      </c>
      <c r="AB628">
        <v>0</v>
      </c>
      <c r="AG628">
        <v>1</v>
      </c>
      <c r="AH628">
        <v>220</v>
      </c>
      <c r="AK628" t="s">
        <v>642</v>
      </c>
      <c r="AL628" t="s">
        <v>290</v>
      </c>
      <c r="AM628">
        <v>2</v>
      </c>
    </row>
    <row r="629" spans="1:39">
      <c r="A629" s="146">
        <v>46204.121134259258</v>
      </c>
      <c r="B629" s="146">
        <v>46203</v>
      </c>
      <c r="C629">
        <v>2325301</v>
      </c>
      <c r="D629" t="s">
        <v>412</v>
      </c>
      <c r="E629" t="s">
        <v>653</v>
      </c>
      <c r="F629" t="s">
        <v>650</v>
      </c>
      <c r="G629" t="s">
        <v>1188</v>
      </c>
      <c r="H629" t="s">
        <v>641</v>
      </c>
      <c r="I629" t="s">
        <v>1222</v>
      </c>
      <c r="J629">
        <v>510</v>
      </c>
      <c r="K629" s="141">
        <v>35</v>
      </c>
      <c r="O629" t="s">
        <v>662</v>
      </c>
      <c r="P629">
        <v>0</v>
      </c>
      <c r="Q629" t="s">
        <v>662</v>
      </c>
      <c r="U629">
        <v>17</v>
      </c>
      <c r="W629" t="s">
        <v>958</v>
      </c>
      <c r="X629" t="s">
        <v>883</v>
      </c>
      <c r="Y629" t="s">
        <v>1189</v>
      </c>
      <c r="AA629" t="s">
        <v>419</v>
      </c>
      <c r="AB629">
        <v>0</v>
      </c>
      <c r="AK629" t="s">
        <v>642</v>
      </c>
      <c r="AL629" t="s">
        <v>290</v>
      </c>
    </row>
    <row r="630" spans="1:39">
      <c r="A630" s="146">
        <v>46204.121134259258</v>
      </c>
      <c r="B630" s="146">
        <v>46203</v>
      </c>
      <c r="C630">
        <v>2243991</v>
      </c>
      <c r="D630" t="s">
        <v>410</v>
      </c>
      <c r="E630" t="s">
        <v>653</v>
      </c>
      <c r="F630" t="s">
        <v>650</v>
      </c>
      <c r="G630" t="s">
        <v>1008</v>
      </c>
      <c r="H630" t="s">
        <v>641</v>
      </c>
      <c r="I630" t="s">
        <v>1223</v>
      </c>
      <c r="J630">
        <v>6420</v>
      </c>
      <c r="K630" s="141">
        <v>28.104999999999997</v>
      </c>
      <c r="O630" t="s">
        <v>679</v>
      </c>
      <c r="P630">
        <v>0</v>
      </c>
      <c r="Q630" t="s">
        <v>679</v>
      </c>
      <c r="U630">
        <v>60</v>
      </c>
      <c r="W630" t="s">
        <v>958</v>
      </c>
      <c r="X630" t="s">
        <v>883</v>
      </c>
      <c r="Y630" t="s">
        <v>1208</v>
      </c>
      <c r="AA630" t="s">
        <v>647</v>
      </c>
      <c r="AB630">
        <v>0</v>
      </c>
      <c r="AK630" t="s">
        <v>642</v>
      </c>
      <c r="AL630" t="s">
        <v>290</v>
      </c>
    </row>
    <row r="631" spans="1:39">
      <c r="A631" s="146">
        <v>46204.211956018517</v>
      </c>
      <c r="B631" s="146">
        <v>46203</v>
      </c>
      <c r="C631">
        <v>2325374</v>
      </c>
      <c r="D631" t="s">
        <v>415</v>
      </c>
      <c r="E631" t="s">
        <v>653</v>
      </c>
      <c r="F631" t="s">
        <v>654</v>
      </c>
      <c r="G631" t="s">
        <v>469</v>
      </c>
      <c r="H631" t="s">
        <v>641</v>
      </c>
      <c r="I631" t="s">
        <v>96</v>
      </c>
      <c r="J631">
        <v>6040</v>
      </c>
      <c r="K631" s="141">
        <v>121.404</v>
      </c>
      <c r="L631">
        <v>12</v>
      </c>
      <c r="M631">
        <v>1</v>
      </c>
      <c r="N631">
        <v>134.404</v>
      </c>
      <c r="O631" t="s">
        <v>1224</v>
      </c>
      <c r="P631">
        <v>0</v>
      </c>
      <c r="Q631" t="s">
        <v>1224</v>
      </c>
      <c r="R631" t="s">
        <v>1225</v>
      </c>
      <c r="S631">
        <v>5.666666666666667</v>
      </c>
      <c r="T631">
        <v>8</v>
      </c>
      <c r="U631">
        <v>45</v>
      </c>
      <c r="V631">
        <v>0.27962962962962962</v>
      </c>
      <c r="W631" t="s">
        <v>958</v>
      </c>
      <c r="X631" t="s">
        <v>883</v>
      </c>
      <c r="Y631" t="s">
        <v>1226</v>
      </c>
      <c r="AA631" t="s">
        <v>647</v>
      </c>
      <c r="AB631">
        <v>0</v>
      </c>
      <c r="AI631">
        <v>4</v>
      </c>
      <c r="AJ631">
        <v>6040</v>
      </c>
      <c r="AK631" t="s">
        <v>642</v>
      </c>
      <c r="AL631" t="s">
        <v>290</v>
      </c>
      <c r="AM631">
        <v>1</v>
      </c>
    </row>
    <row r="632" spans="1:39">
      <c r="A632" s="146">
        <v>46204.211956018517</v>
      </c>
      <c r="B632" s="146">
        <v>46203</v>
      </c>
      <c r="C632">
        <v>2325374</v>
      </c>
      <c r="D632" t="s">
        <v>415</v>
      </c>
      <c r="E632" t="s">
        <v>653</v>
      </c>
      <c r="F632" t="s">
        <v>650</v>
      </c>
      <c r="G632" t="s">
        <v>469</v>
      </c>
      <c r="H632" t="s">
        <v>641</v>
      </c>
      <c r="I632" t="s">
        <v>96</v>
      </c>
      <c r="K632" s="141">
        <v>0</v>
      </c>
      <c r="O632" t="s">
        <v>1224</v>
      </c>
      <c r="P632">
        <v>0</v>
      </c>
      <c r="Q632" t="s">
        <v>1224</v>
      </c>
      <c r="R632" t="s">
        <v>1225</v>
      </c>
      <c r="U632">
        <v>45</v>
      </c>
      <c r="W632" t="s">
        <v>958</v>
      </c>
      <c r="X632" t="s">
        <v>883</v>
      </c>
      <c r="Y632" t="s">
        <v>1226</v>
      </c>
      <c r="AA632" t="s">
        <v>647</v>
      </c>
      <c r="AB632">
        <v>0</v>
      </c>
      <c r="AK632" t="s">
        <v>642</v>
      </c>
      <c r="AL632" t="s">
        <v>290</v>
      </c>
    </row>
    <row r="633" spans="1:39">
      <c r="A633" s="146">
        <v>46204.528726851851</v>
      </c>
      <c r="B633" s="146">
        <v>46203</v>
      </c>
      <c r="C633">
        <v>2241656</v>
      </c>
      <c r="D633" t="s">
        <v>409</v>
      </c>
      <c r="E633" t="s">
        <v>653</v>
      </c>
      <c r="F633" t="s">
        <v>654</v>
      </c>
      <c r="G633" t="s">
        <v>469</v>
      </c>
      <c r="H633" t="s">
        <v>641</v>
      </c>
      <c r="I633" t="s">
        <v>96</v>
      </c>
      <c r="J633">
        <v>3020</v>
      </c>
      <c r="K633" s="141">
        <v>60.701999999999998</v>
      </c>
      <c r="L633">
        <v>12</v>
      </c>
      <c r="M633">
        <v>1</v>
      </c>
      <c r="N633">
        <v>73.701999999999998</v>
      </c>
      <c r="O633" t="s">
        <v>1224</v>
      </c>
      <c r="P633">
        <v>0</v>
      </c>
      <c r="Q633" t="s">
        <v>1224</v>
      </c>
      <c r="S633">
        <v>0</v>
      </c>
      <c r="T633">
        <v>1</v>
      </c>
      <c r="U633">
        <v>45</v>
      </c>
      <c r="V633">
        <v>1.1185185185185185</v>
      </c>
      <c r="W633" t="s">
        <v>958</v>
      </c>
      <c r="X633" t="s">
        <v>883</v>
      </c>
      <c r="Y633" t="s">
        <v>1227</v>
      </c>
      <c r="AA633" t="s">
        <v>647</v>
      </c>
      <c r="AB633">
        <v>0</v>
      </c>
      <c r="AG633">
        <v>2</v>
      </c>
      <c r="AH633">
        <v>3020</v>
      </c>
      <c r="AK633" t="s">
        <v>642</v>
      </c>
      <c r="AL633" t="s">
        <v>290</v>
      </c>
      <c r="AM633">
        <v>1</v>
      </c>
    </row>
    <row r="634" spans="1:39">
      <c r="A634" s="146">
        <v>46204.554189814815</v>
      </c>
      <c r="B634" s="146">
        <v>46204</v>
      </c>
      <c r="C634">
        <v>2241656</v>
      </c>
      <c r="D634" t="s">
        <v>409</v>
      </c>
      <c r="E634" t="s">
        <v>659</v>
      </c>
      <c r="F634" t="s">
        <v>650</v>
      </c>
      <c r="G634" t="s">
        <v>262</v>
      </c>
      <c r="H634" t="s">
        <v>641</v>
      </c>
      <c r="I634" t="s">
        <v>96</v>
      </c>
      <c r="J634">
        <v>1510</v>
      </c>
      <c r="K634" s="141">
        <v>30.350999999999999</v>
      </c>
      <c r="O634" t="s">
        <v>1224</v>
      </c>
      <c r="P634">
        <v>0</v>
      </c>
      <c r="Q634" t="s">
        <v>1224</v>
      </c>
      <c r="U634">
        <v>45</v>
      </c>
      <c r="W634" t="s">
        <v>958</v>
      </c>
      <c r="X634" t="s">
        <v>883</v>
      </c>
      <c r="Y634" t="s">
        <v>1228</v>
      </c>
      <c r="AA634" t="s">
        <v>647</v>
      </c>
      <c r="AB634">
        <v>0</v>
      </c>
      <c r="AK634" t="s">
        <v>642</v>
      </c>
      <c r="AL634" t="s">
        <v>59</v>
      </c>
    </row>
    <row r="635" spans="1:39">
      <c r="A635" s="146">
        <v>46204.563981481479</v>
      </c>
      <c r="B635" s="146">
        <v>46204</v>
      </c>
      <c r="C635">
        <v>2021645</v>
      </c>
      <c r="D635" t="s">
        <v>629</v>
      </c>
      <c r="E635" t="s">
        <v>659</v>
      </c>
      <c r="F635" t="s">
        <v>650</v>
      </c>
      <c r="G635" t="s">
        <v>230</v>
      </c>
      <c r="H635" t="s">
        <v>641</v>
      </c>
      <c r="I635" t="s">
        <v>87</v>
      </c>
      <c r="J635">
        <v>2200</v>
      </c>
      <c r="K635" s="141">
        <v>19.139999999999997</v>
      </c>
      <c r="O635" t="s">
        <v>1224</v>
      </c>
      <c r="P635">
        <v>0</v>
      </c>
      <c r="Q635" t="s">
        <v>1224</v>
      </c>
      <c r="U635">
        <v>70</v>
      </c>
      <c r="W635" t="s">
        <v>958</v>
      </c>
      <c r="X635" t="s">
        <v>883</v>
      </c>
      <c r="Y635" t="s">
        <v>1229</v>
      </c>
      <c r="AA635" t="s">
        <v>647</v>
      </c>
      <c r="AB635">
        <v>0</v>
      </c>
      <c r="AK635" t="s">
        <v>642</v>
      </c>
      <c r="AL635" t="s">
        <v>290</v>
      </c>
    </row>
    <row r="636" spans="1:39">
      <c r="A636" s="146">
        <v>46204.564953703702</v>
      </c>
      <c r="B636" s="146">
        <v>46204</v>
      </c>
      <c r="C636">
        <v>2021645</v>
      </c>
      <c r="D636" t="s">
        <v>629</v>
      </c>
      <c r="E636" t="s">
        <v>659</v>
      </c>
      <c r="F636" t="s">
        <v>650</v>
      </c>
      <c r="G636" t="s">
        <v>223</v>
      </c>
      <c r="H636" t="s">
        <v>641</v>
      </c>
      <c r="I636" t="s">
        <v>94</v>
      </c>
      <c r="J636">
        <v>1100</v>
      </c>
      <c r="K636" s="141">
        <v>38.39</v>
      </c>
      <c r="O636" t="s">
        <v>662</v>
      </c>
      <c r="P636">
        <v>0</v>
      </c>
      <c r="Q636" t="s">
        <v>662</v>
      </c>
      <c r="U636">
        <v>42</v>
      </c>
      <c r="W636" t="s">
        <v>958</v>
      </c>
      <c r="X636" t="s">
        <v>883</v>
      </c>
      <c r="Y636" t="s">
        <v>1230</v>
      </c>
      <c r="AA636" t="s">
        <v>647</v>
      </c>
      <c r="AB636">
        <v>0</v>
      </c>
      <c r="AK636" t="s">
        <v>642</v>
      </c>
      <c r="AL636" t="s">
        <v>290</v>
      </c>
    </row>
    <row r="637" spans="1:39">
      <c r="A637" s="146">
        <v>46204.883576388886</v>
      </c>
      <c r="B637" s="146">
        <v>46204</v>
      </c>
      <c r="C637">
        <v>2022158</v>
      </c>
      <c r="D637" t="s">
        <v>394</v>
      </c>
      <c r="E637" t="s">
        <v>643</v>
      </c>
      <c r="F637" t="s">
        <v>650</v>
      </c>
      <c r="G637" t="s">
        <v>481</v>
      </c>
      <c r="H637" t="s">
        <v>641</v>
      </c>
      <c r="I637" t="s">
        <v>1235</v>
      </c>
      <c r="J637">
        <v>420</v>
      </c>
      <c r="K637" s="141">
        <v>33.683999999999997</v>
      </c>
      <c r="O637" t="s">
        <v>1231</v>
      </c>
      <c r="P637">
        <v>0</v>
      </c>
      <c r="Q637" t="s">
        <v>1231</v>
      </c>
      <c r="U637">
        <v>13.5</v>
      </c>
      <c r="W637" t="s">
        <v>958</v>
      </c>
      <c r="X637" t="s">
        <v>883</v>
      </c>
      <c r="Y637" t="s">
        <v>1232</v>
      </c>
      <c r="AA637" t="s">
        <v>419</v>
      </c>
      <c r="AB637">
        <v>0</v>
      </c>
      <c r="AK637" t="s">
        <v>642</v>
      </c>
      <c r="AL637" t="s">
        <v>290</v>
      </c>
    </row>
    <row r="638" spans="1:39">
      <c r="A638" s="146">
        <v>46204.884293981479</v>
      </c>
      <c r="B638" s="146">
        <v>46204</v>
      </c>
      <c r="C638">
        <v>2022158</v>
      </c>
      <c r="D638" t="s">
        <v>394</v>
      </c>
      <c r="E638" t="s">
        <v>643</v>
      </c>
      <c r="F638" t="s">
        <v>650</v>
      </c>
      <c r="G638" t="s">
        <v>250</v>
      </c>
      <c r="H638" t="s">
        <v>641</v>
      </c>
      <c r="I638" t="s">
        <v>1236</v>
      </c>
      <c r="J638">
        <v>1060</v>
      </c>
      <c r="K638" s="141">
        <v>206.31199999999998</v>
      </c>
      <c r="O638" t="s">
        <v>1231</v>
      </c>
      <c r="P638">
        <v>0</v>
      </c>
      <c r="Q638" t="s">
        <v>1231</v>
      </c>
      <c r="U638">
        <v>10</v>
      </c>
      <c r="W638" t="s">
        <v>958</v>
      </c>
      <c r="X638" t="s">
        <v>883</v>
      </c>
      <c r="Y638" t="s">
        <v>1233</v>
      </c>
      <c r="AA638" t="s">
        <v>419</v>
      </c>
      <c r="AB638">
        <v>0</v>
      </c>
      <c r="AK638" t="s">
        <v>642</v>
      </c>
      <c r="AL638" t="s">
        <v>290</v>
      </c>
    </row>
    <row r="639" spans="1:39">
      <c r="A639" s="146">
        <v>46204.884988425925</v>
      </c>
      <c r="B639" s="146">
        <v>46204</v>
      </c>
      <c r="C639">
        <v>2221908</v>
      </c>
      <c r="D639" t="s">
        <v>398</v>
      </c>
      <c r="E639" t="s">
        <v>643</v>
      </c>
      <c r="F639" t="s">
        <v>650</v>
      </c>
      <c r="G639" t="s">
        <v>235</v>
      </c>
      <c r="H639" t="s">
        <v>641</v>
      </c>
      <c r="I639" t="s">
        <v>1237</v>
      </c>
      <c r="J639">
        <v>2210</v>
      </c>
      <c r="K639" s="141">
        <v>39.558999999999997</v>
      </c>
      <c r="O639" t="s">
        <v>1231</v>
      </c>
      <c r="P639">
        <v>0</v>
      </c>
      <c r="Q639" t="s">
        <v>1231</v>
      </c>
      <c r="U639">
        <v>50</v>
      </c>
      <c r="W639" t="s">
        <v>958</v>
      </c>
      <c r="X639" t="s">
        <v>883</v>
      </c>
      <c r="Y639" t="s">
        <v>1234</v>
      </c>
      <c r="AA639" t="s">
        <v>419</v>
      </c>
      <c r="AB639">
        <v>0</v>
      </c>
      <c r="AK639" t="s">
        <v>642</v>
      </c>
      <c r="AL639" t="s">
        <v>290</v>
      </c>
    </row>
    <row r="640" spans="1:39">
      <c r="A640" s="146">
        <v>46204.903449074074</v>
      </c>
      <c r="B640" s="146">
        <v>46204</v>
      </c>
      <c r="C640">
        <v>2325295</v>
      </c>
      <c r="D640" t="s">
        <v>411</v>
      </c>
      <c r="E640" t="s">
        <v>643</v>
      </c>
      <c r="F640" t="s">
        <v>650</v>
      </c>
      <c r="G640" t="s">
        <v>262</v>
      </c>
      <c r="H640" t="s">
        <v>641</v>
      </c>
      <c r="I640" t="s">
        <v>96</v>
      </c>
      <c r="J640">
        <v>2510</v>
      </c>
      <c r="K640" s="141">
        <v>50.451000000000001</v>
      </c>
      <c r="O640" t="s">
        <v>1231</v>
      </c>
      <c r="P640">
        <v>0</v>
      </c>
      <c r="Q640" t="s">
        <v>1231</v>
      </c>
      <c r="U640">
        <v>45</v>
      </c>
      <c r="W640" t="s">
        <v>958</v>
      </c>
      <c r="X640" t="s">
        <v>883</v>
      </c>
      <c r="Y640" t="s">
        <v>1238</v>
      </c>
      <c r="AA640" t="s">
        <v>419</v>
      </c>
      <c r="AB640">
        <v>0</v>
      </c>
      <c r="AK640" t="s">
        <v>642</v>
      </c>
      <c r="AL640" t="s">
        <v>59</v>
      </c>
    </row>
    <row r="641" spans="1:39">
      <c r="A641" s="146">
        <v>46204.904733796298</v>
      </c>
      <c r="B641" s="146">
        <v>46204</v>
      </c>
      <c r="C641">
        <v>2325295</v>
      </c>
      <c r="D641" t="s">
        <v>411</v>
      </c>
      <c r="E641" t="s">
        <v>643</v>
      </c>
      <c r="F641" t="s">
        <v>650</v>
      </c>
      <c r="G641" t="s">
        <v>233</v>
      </c>
      <c r="H641" t="s">
        <v>641</v>
      </c>
      <c r="I641" t="s">
        <v>93</v>
      </c>
      <c r="J641">
        <v>1845</v>
      </c>
      <c r="K641" s="141">
        <v>95.201999999999998</v>
      </c>
      <c r="O641" t="s">
        <v>1231</v>
      </c>
      <c r="P641">
        <v>0</v>
      </c>
      <c r="Q641" t="s">
        <v>1231</v>
      </c>
      <c r="U641">
        <v>27</v>
      </c>
      <c r="W641" t="s">
        <v>958</v>
      </c>
      <c r="X641" t="s">
        <v>883</v>
      </c>
      <c r="Y641" t="s">
        <v>1239</v>
      </c>
      <c r="AA641" t="s">
        <v>419</v>
      </c>
      <c r="AB641">
        <v>0</v>
      </c>
      <c r="AK641" t="s">
        <v>642</v>
      </c>
      <c r="AL641" t="s">
        <v>290</v>
      </c>
    </row>
    <row r="642" spans="1:39">
      <c r="A642" s="146">
        <v>46204.915011574078</v>
      </c>
      <c r="B642" s="146">
        <v>46204</v>
      </c>
      <c r="C642">
        <v>2020965</v>
      </c>
      <c r="D642" t="s">
        <v>386</v>
      </c>
      <c r="E642" t="s">
        <v>643</v>
      </c>
      <c r="F642" t="s">
        <v>650</v>
      </c>
      <c r="G642" t="s">
        <v>241</v>
      </c>
      <c r="H642" t="s">
        <v>641</v>
      </c>
      <c r="I642" t="s">
        <v>1241</v>
      </c>
      <c r="J642">
        <v>930</v>
      </c>
      <c r="K642" s="141">
        <v>32.457000000000001</v>
      </c>
      <c r="O642" t="s">
        <v>1231</v>
      </c>
      <c r="P642">
        <v>0</v>
      </c>
      <c r="Q642" t="s">
        <v>1231</v>
      </c>
      <c r="U642">
        <v>30</v>
      </c>
      <c r="W642" t="s">
        <v>958</v>
      </c>
      <c r="X642" t="s">
        <v>883</v>
      </c>
      <c r="Y642" t="s">
        <v>1240</v>
      </c>
      <c r="AA642" t="s">
        <v>419</v>
      </c>
      <c r="AB642">
        <v>0</v>
      </c>
      <c r="AK642" t="s">
        <v>642</v>
      </c>
      <c r="AL642" t="s">
        <v>290</v>
      </c>
    </row>
    <row r="643" spans="1:39">
      <c r="A643" s="146">
        <v>46204.915011574078</v>
      </c>
      <c r="B643" s="146">
        <v>46204</v>
      </c>
      <c r="C643">
        <v>2243991</v>
      </c>
      <c r="D643" t="s">
        <v>410</v>
      </c>
      <c r="E643" t="s">
        <v>653</v>
      </c>
      <c r="F643" t="s">
        <v>650</v>
      </c>
      <c r="G643" t="s">
        <v>241</v>
      </c>
      <c r="H643" t="s">
        <v>641</v>
      </c>
      <c r="I643" t="s">
        <v>1242</v>
      </c>
      <c r="J643">
        <v>500</v>
      </c>
      <c r="K643" s="141">
        <v>20</v>
      </c>
      <c r="O643" t="s">
        <v>1231</v>
      </c>
      <c r="P643">
        <v>0</v>
      </c>
      <c r="Q643" t="s">
        <v>1231</v>
      </c>
      <c r="U643">
        <v>30</v>
      </c>
      <c r="W643" t="s">
        <v>958</v>
      </c>
      <c r="X643" t="s">
        <v>883</v>
      </c>
      <c r="Y643" t="s">
        <v>1240</v>
      </c>
      <c r="AA643" t="s">
        <v>419</v>
      </c>
      <c r="AB643">
        <v>0</v>
      </c>
      <c r="AK643" t="s">
        <v>642</v>
      </c>
      <c r="AL643" t="s">
        <v>290</v>
      </c>
    </row>
    <row r="644" spans="1:39">
      <c r="A644" s="146">
        <v>46205.225763888891</v>
      </c>
      <c r="B644" s="146">
        <v>46204</v>
      </c>
      <c r="C644">
        <v>2021742</v>
      </c>
      <c r="D644" t="s">
        <v>391</v>
      </c>
      <c r="E644" t="s">
        <v>653</v>
      </c>
      <c r="F644" t="s">
        <v>650</v>
      </c>
      <c r="G644" t="s">
        <v>233</v>
      </c>
      <c r="H644" t="s">
        <v>641</v>
      </c>
      <c r="I644" t="s">
        <v>1244</v>
      </c>
      <c r="J644">
        <v>3075</v>
      </c>
      <c r="K644" s="141">
        <v>158.66999999999999</v>
      </c>
      <c r="O644" t="s">
        <v>1231</v>
      </c>
      <c r="P644">
        <v>0</v>
      </c>
      <c r="Q644" t="s">
        <v>1231</v>
      </c>
      <c r="U644">
        <v>27</v>
      </c>
      <c r="W644" t="s">
        <v>958</v>
      </c>
      <c r="X644" t="s">
        <v>883</v>
      </c>
      <c r="Y644" t="s">
        <v>1243</v>
      </c>
      <c r="AA644" t="s">
        <v>419</v>
      </c>
      <c r="AB644">
        <v>0</v>
      </c>
      <c r="AK644" t="s">
        <v>642</v>
      </c>
      <c r="AL644" t="s">
        <v>290</v>
      </c>
    </row>
    <row r="645" spans="1:39">
      <c r="A645" s="146">
        <v>46205.227731481478</v>
      </c>
      <c r="B645" s="146">
        <v>46204</v>
      </c>
      <c r="C645">
        <v>2222785</v>
      </c>
      <c r="D645" t="s">
        <v>399</v>
      </c>
      <c r="E645" t="s">
        <v>653</v>
      </c>
      <c r="F645" t="s">
        <v>650</v>
      </c>
      <c r="G645" t="s">
        <v>481</v>
      </c>
      <c r="H645" t="s">
        <v>641</v>
      </c>
      <c r="I645" t="s">
        <v>1246</v>
      </c>
      <c r="J645">
        <v>840</v>
      </c>
      <c r="K645" s="141">
        <v>67.367999999999995</v>
      </c>
      <c r="L645">
        <v>0</v>
      </c>
      <c r="M645">
        <v>0</v>
      </c>
      <c r="N645">
        <v>67.367999999999995</v>
      </c>
      <c r="O645" t="s">
        <v>1231</v>
      </c>
      <c r="P645">
        <v>0</v>
      </c>
      <c r="Q645" t="s">
        <v>1231</v>
      </c>
      <c r="S645">
        <v>0</v>
      </c>
      <c r="T645">
        <v>1.2</v>
      </c>
      <c r="U645">
        <v>13.5</v>
      </c>
      <c r="V645">
        <v>0.86419753086419748</v>
      </c>
      <c r="W645" t="s">
        <v>958</v>
      </c>
      <c r="X645" t="s">
        <v>883</v>
      </c>
      <c r="Y645" t="s">
        <v>1245</v>
      </c>
      <c r="AA645" t="s">
        <v>419</v>
      </c>
      <c r="AB645">
        <v>0</v>
      </c>
      <c r="AG645">
        <v>1</v>
      </c>
      <c r="AH645">
        <v>840</v>
      </c>
      <c r="AK645" t="s">
        <v>642</v>
      </c>
      <c r="AL645" t="s">
        <v>290</v>
      </c>
      <c r="AM645">
        <v>2</v>
      </c>
    </row>
    <row r="646" spans="1:39">
      <c r="A646" s="146">
        <v>46205.577164351853</v>
      </c>
      <c r="B646" s="146">
        <v>46204</v>
      </c>
      <c r="C646">
        <v>2020390</v>
      </c>
      <c r="D646" t="s">
        <v>382</v>
      </c>
      <c r="E646" t="s">
        <v>659</v>
      </c>
      <c r="F646" t="s">
        <v>650</v>
      </c>
      <c r="G646" t="s">
        <v>222</v>
      </c>
      <c r="H646" t="s">
        <v>641</v>
      </c>
      <c r="I646" t="s">
        <v>98</v>
      </c>
      <c r="J646">
        <v>4420</v>
      </c>
      <c r="K646" s="141">
        <v>79.117999999999995</v>
      </c>
      <c r="O646" t="s">
        <v>1248</v>
      </c>
      <c r="P646">
        <v>0</v>
      </c>
      <c r="Q646" t="s">
        <v>1248</v>
      </c>
      <c r="R646" t="s">
        <v>1249</v>
      </c>
      <c r="U646">
        <v>50</v>
      </c>
      <c r="W646" t="s">
        <v>958</v>
      </c>
      <c r="X646" t="s">
        <v>883</v>
      </c>
      <c r="Y646" t="s">
        <v>1250</v>
      </c>
      <c r="AA646" t="s">
        <v>419</v>
      </c>
      <c r="AB646">
        <v>0</v>
      </c>
      <c r="AK646" t="s">
        <v>642</v>
      </c>
      <c r="AL646" t="s">
        <v>290</v>
      </c>
    </row>
    <row r="647" spans="1:39">
      <c r="A647" s="146">
        <v>46205.578194444446</v>
      </c>
      <c r="B647" s="146">
        <v>46204</v>
      </c>
      <c r="C647">
        <v>2020390</v>
      </c>
      <c r="D647" t="s">
        <v>382</v>
      </c>
      <c r="E647" t="s">
        <v>659</v>
      </c>
      <c r="F647" t="s">
        <v>650</v>
      </c>
      <c r="G647" t="s">
        <v>222</v>
      </c>
      <c r="H647" t="s">
        <v>641</v>
      </c>
      <c r="I647" t="s">
        <v>98</v>
      </c>
      <c r="J647">
        <v>4420</v>
      </c>
      <c r="K647" s="141">
        <v>79.117999999999995</v>
      </c>
      <c r="O647" t="s">
        <v>1248</v>
      </c>
      <c r="P647">
        <v>0</v>
      </c>
      <c r="Q647" t="s">
        <v>1248</v>
      </c>
      <c r="U647">
        <v>50</v>
      </c>
      <c r="W647" t="s">
        <v>958</v>
      </c>
      <c r="X647" t="s">
        <v>883</v>
      </c>
      <c r="Y647" t="s">
        <v>1251</v>
      </c>
      <c r="AA647" t="s">
        <v>419</v>
      </c>
      <c r="AB647">
        <v>0</v>
      </c>
      <c r="AK647" t="s">
        <v>642</v>
      </c>
      <c r="AL647" t="s">
        <v>290</v>
      </c>
    </row>
    <row r="648" spans="1:39">
      <c r="A648" s="146">
        <v>46205.822766203702</v>
      </c>
      <c r="B648" s="146">
        <v>46204</v>
      </c>
      <c r="C648">
        <v>2228947</v>
      </c>
      <c r="D648" t="s">
        <v>416</v>
      </c>
      <c r="E648" t="s">
        <v>643</v>
      </c>
      <c r="F648" t="s">
        <v>650</v>
      </c>
      <c r="G648" t="s">
        <v>1254</v>
      </c>
      <c r="H648" t="s">
        <v>641</v>
      </c>
      <c r="I648" t="s">
        <v>1260</v>
      </c>
      <c r="J648">
        <v>1900</v>
      </c>
      <c r="K648" s="141">
        <v>16.529999999999998</v>
      </c>
      <c r="O648" t="s">
        <v>1248</v>
      </c>
      <c r="P648">
        <v>0</v>
      </c>
      <c r="Q648" t="s">
        <v>1248</v>
      </c>
      <c r="U648">
        <v>70</v>
      </c>
      <c r="W648" t="s">
        <v>958</v>
      </c>
      <c r="X648" t="s">
        <v>883</v>
      </c>
      <c r="Y648" t="s">
        <v>1255</v>
      </c>
      <c r="AA648" t="s">
        <v>647</v>
      </c>
      <c r="AB648">
        <v>0</v>
      </c>
      <c r="AK648" t="s">
        <v>642</v>
      </c>
      <c r="AL648" t="s">
        <v>290</v>
      </c>
    </row>
    <row r="649" spans="1:39">
      <c r="A649" s="146">
        <v>46205.823587962965</v>
      </c>
      <c r="B649" s="146">
        <v>46204</v>
      </c>
      <c r="C649">
        <v>2228947</v>
      </c>
      <c r="D649" t="s">
        <v>416</v>
      </c>
      <c r="E649" t="s">
        <v>1259</v>
      </c>
      <c r="F649" t="s">
        <v>650</v>
      </c>
      <c r="G649" t="s">
        <v>1256</v>
      </c>
      <c r="H649" t="s">
        <v>641</v>
      </c>
      <c r="I649" t="s">
        <v>1261</v>
      </c>
      <c r="J649">
        <v>2700</v>
      </c>
      <c r="K649" s="141">
        <v>23.49</v>
      </c>
      <c r="O649" t="s">
        <v>1248</v>
      </c>
      <c r="P649">
        <v>0</v>
      </c>
      <c r="Q649" t="s">
        <v>1248</v>
      </c>
      <c r="U649">
        <v>70</v>
      </c>
      <c r="W649" t="s">
        <v>958</v>
      </c>
      <c r="X649" t="s">
        <v>883</v>
      </c>
      <c r="Y649" t="s">
        <v>1257</v>
      </c>
      <c r="AA649" t="s">
        <v>647</v>
      </c>
      <c r="AB649">
        <v>0</v>
      </c>
      <c r="AK649" t="s">
        <v>642</v>
      </c>
      <c r="AL649" t="s">
        <v>290</v>
      </c>
    </row>
    <row r="650" spans="1:39">
      <c r="A650" s="146">
        <v>46205.824502314812</v>
      </c>
      <c r="B650" s="146">
        <v>46204</v>
      </c>
      <c r="C650">
        <v>2228947</v>
      </c>
      <c r="D650" t="s">
        <v>416</v>
      </c>
      <c r="E650" t="s">
        <v>643</v>
      </c>
      <c r="F650" t="s">
        <v>650</v>
      </c>
      <c r="G650" t="s">
        <v>774</v>
      </c>
      <c r="H650" t="s">
        <v>641</v>
      </c>
      <c r="I650" t="s">
        <v>1262</v>
      </c>
      <c r="J650">
        <v>3210</v>
      </c>
      <c r="K650" s="141">
        <v>27.927</v>
      </c>
      <c r="O650" t="s">
        <v>1248</v>
      </c>
      <c r="P650">
        <v>0</v>
      </c>
      <c r="Q650" t="s">
        <v>1248</v>
      </c>
      <c r="U650">
        <v>70</v>
      </c>
      <c r="W650" t="s">
        <v>958</v>
      </c>
      <c r="X650" t="s">
        <v>883</v>
      </c>
      <c r="Y650" t="s">
        <v>1258</v>
      </c>
      <c r="AA650" t="s">
        <v>647</v>
      </c>
      <c r="AB650">
        <v>0</v>
      </c>
      <c r="AK650" t="s">
        <v>642</v>
      </c>
      <c r="AL650" t="s">
        <v>290</v>
      </c>
    </row>
    <row r="651" spans="1:39">
      <c r="A651" s="146">
        <v>46205.828888888886</v>
      </c>
      <c r="B651" s="146">
        <v>46205</v>
      </c>
      <c r="C651">
        <v>2228947</v>
      </c>
      <c r="D651" t="s">
        <v>416</v>
      </c>
      <c r="E651" t="s">
        <v>643</v>
      </c>
      <c r="F651" t="s">
        <v>650</v>
      </c>
      <c r="G651" t="s">
        <v>660</v>
      </c>
      <c r="H651" t="s">
        <v>641</v>
      </c>
      <c r="I651" t="s">
        <v>94</v>
      </c>
      <c r="J651">
        <v>2330</v>
      </c>
      <c r="K651" s="141">
        <v>81.317000000000007</v>
      </c>
      <c r="O651" t="s">
        <v>662</v>
      </c>
      <c r="P651">
        <v>0</v>
      </c>
      <c r="Q651" t="s">
        <v>662</v>
      </c>
      <c r="U651">
        <v>42</v>
      </c>
      <c r="W651" t="s">
        <v>958</v>
      </c>
      <c r="X651" t="s">
        <v>883</v>
      </c>
      <c r="Y651" t="s">
        <v>1263</v>
      </c>
      <c r="AA651" t="s">
        <v>419</v>
      </c>
      <c r="AB651">
        <v>0</v>
      </c>
      <c r="AK651" t="s">
        <v>642</v>
      </c>
      <c r="AL651" t="s">
        <v>290</v>
      </c>
    </row>
    <row r="652" spans="1:39">
      <c r="A652" s="146">
        <v>46205.875763888886</v>
      </c>
      <c r="B652" s="146">
        <v>46205</v>
      </c>
      <c r="C652">
        <v>2221908</v>
      </c>
      <c r="D652" t="s">
        <v>398</v>
      </c>
      <c r="E652" t="s">
        <v>643</v>
      </c>
      <c r="F652" t="s">
        <v>650</v>
      </c>
      <c r="G652" t="s">
        <v>429</v>
      </c>
      <c r="H652" t="s">
        <v>641</v>
      </c>
      <c r="I652" t="s">
        <v>86</v>
      </c>
      <c r="J652">
        <v>2500</v>
      </c>
      <c r="K652" s="141">
        <v>13.75</v>
      </c>
      <c r="O652" t="s">
        <v>1264</v>
      </c>
      <c r="P652">
        <v>0</v>
      </c>
      <c r="Q652" t="s">
        <v>1264</v>
      </c>
      <c r="U652">
        <v>60</v>
      </c>
      <c r="W652" t="s">
        <v>958</v>
      </c>
      <c r="X652" t="s">
        <v>883</v>
      </c>
      <c r="Y652" t="s">
        <v>1265</v>
      </c>
      <c r="AA652" t="s">
        <v>647</v>
      </c>
      <c r="AB652">
        <v>0</v>
      </c>
      <c r="AK652" t="s">
        <v>642</v>
      </c>
      <c r="AL652" t="s">
        <v>59</v>
      </c>
    </row>
    <row r="653" spans="1:39">
      <c r="A653" s="146">
        <v>46205.884548611109</v>
      </c>
      <c r="B653" s="146">
        <v>46205</v>
      </c>
      <c r="C653">
        <v>2020965</v>
      </c>
      <c r="D653" t="s">
        <v>386</v>
      </c>
      <c r="E653" t="s">
        <v>643</v>
      </c>
      <c r="F653" t="s">
        <v>650</v>
      </c>
      <c r="G653" t="s">
        <v>229</v>
      </c>
      <c r="H653" t="s">
        <v>641</v>
      </c>
      <c r="I653" t="s">
        <v>97</v>
      </c>
      <c r="J653">
        <v>1020</v>
      </c>
      <c r="K653" s="141">
        <v>72.929999999999993</v>
      </c>
      <c r="O653" t="s">
        <v>1266</v>
      </c>
      <c r="P653">
        <v>0</v>
      </c>
      <c r="Q653" t="s">
        <v>1266</v>
      </c>
      <c r="U653">
        <v>17</v>
      </c>
      <c r="W653" t="s">
        <v>958</v>
      </c>
      <c r="X653" t="s">
        <v>883</v>
      </c>
      <c r="Y653" t="s">
        <v>1267</v>
      </c>
      <c r="AA653" t="s">
        <v>419</v>
      </c>
      <c r="AB653">
        <v>0</v>
      </c>
      <c r="AK653" t="s">
        <v>642</v>
      </c>
      <c r="AL653" t="s">
        <v>290</v>
      </c>
    </row>
    <row r="654" spans="1:39">
      <c r="A654" s="146">
        <v>46205.894988425927</v>
      </c>
      <c r="B654" s="146">
        <v>46205</v>
      </c>
      <c r="C654">
        <v>2325295</v>
      </c>
      <c r="D654" t="s">
        <v>411</v>
      </c>
      <c r="E654" t="s">
        <v>643</v>
      </c>
      <c r="F654" t="s">
        <v>650</v>
      </c>
      <c r="G654" t="s">
        <v>233</v>
      </c>
      <c r="H654" t="s">
        <v>641</v>
      </c>
      <c r="I654" t="s">
        <v>95</v>
      </c>
      <c r="J654">
        <v>2460</v>
      </c>
      <c r="K654" s="141">
        <v>126.93600000000001</v>
      </c>
      <c r="O654" t="s">
        <v>1266</v>
      </c>
      <c r="P654">
        <v>0</v>
      </c>
      <c r="Q654" t="s">
        <v>1266</v>
      </c>
      <c r="U654">
        <v>27</v>
      </c>
      <c r="W654" t="s">
        <v>958</v>
      </c>
      <c r="X654" t="s">
        <v>883</v>
      </c>
      <c r="Y654" t="s">
        <v>1269</v>
      </c>
      <c r="AA654" t="s">
        <v>419</v>
      </c>
      <c r="AB654">
        <v>0</v>
      </c>
      <c r="AK654" t="s">
        <v>642</v>
      </c>
      <c r="AL654" t="s">
        <v>290</v>
      </c>
    </row>
    <row r="655" spans="1:39">
      <c r="A655" s="146">
        <v>46205.894988425927</v>
      </c>
      <c r="B655" s="146">
        <v>46205</v>
      </c>
      <c r="C655">
        <v>2022158</v>
      </c>
      <c r="D655" t="s">
        <v>394</v>
      </c>
      <c r="E655" t="s">
        <v>643</v>
      </c>
      <c r="F655" t="s">
        <v>650</v>
      </c>
      <c r="G655" t="s">
        <v>1216</v>
      </c>
      <c r="H655" t="s">
        <v>641</v>
      </c>
      <c r="I655" t="s">
        <v>1273</v>
      </c>
      <c r="J655">
        <v>420</v>
      </c>
      <c r="K655" s="141">
        <v>60</v>
      </c>
      <c r="O655" t="s">
        <v>1231</v>
      </c>
      <c r="P655">
        <v>0</v>
      </c>
      <c r="Q655" t="s">
        <v>1231</v>
      </c>
      <c r="U655">
        <v>10</v>
      </c>
      <c r="W655" t="s">
        <v>958</v>
      </c>
      <c r="X655" t="s">
        <v>883</v>
      </c>
      <c r="Y655" t="s">
        <v>1233</v>
      </c>
      <c r="AA655" t="s">
        <v>419</v>
      </c>
      <c r="AB655">
        <v>0</v>
      </c>
      <c r="AK655" t="s">
        <v>642</v>
      </c>
      <c r="AL655" t="s">
        <v>290</v>
      </c>
    </row>
    <row r="656" spans="1:39">
      <c r="A656" s="146">
        <v>46205.894988425927</v>
      </c>
      <c r="B656" s="146">
        <v>46205</v>
      </c>
      <c r="C656">
        <v>2022158</v>
      </c>
      <c r="D656" t="s">
        <v>394</v>
      </c>
      <c r="E656" t="s">
        <v>643</v>
      </c>
      <c r="F656" t="s">
        <v>650</v>
      </c>
      <c r="G656" t="s">
        <v>222</v>
      </c>
      <c r="H656" t="s">
        <v>641</v>
      </c>
      <c r="I656" t="s">
        <v>1274</v>
      </c>
      <c r="J656">
        <v>3770</v>
      </c>
      <c r="K656" s="141">
        <v>39.558999999999997</v>
      </c>
      <c r="O656" t="s">
        <v>1231</v>
      </c>
      <c r="P656">
        <v>0</v>
      </c>
      <c r="Q656" t="s">
        <v>1231</v>
      </c>
      <c r="U656">
        <v>50</v>
      </c>
      <c r="W656" t="s">
        <v>958</v>
      </c>
      <c r="X656" t="s">
        <v>883</v>
      </c>
      <c r="Y656" t="s">
        <v>1234</v>
      </c>
      <c r="AA656" t="s">
        <v>419</v>
      </c>
      <c r="AB656">
        <v>0</v>
      </c>
      <c r="AK656" t="s">
        <v>642</v>
      </c>
      <c r="AL656" t="s">
        <v>290</v>
      </c>
    </row>
    <row r="657" spans="1:38">
      <c r="A657" s="146">
        <v>46206.194039351853</v>
      </c>
      <c r="B657" s="146">
        <v>46205</v>
      </c>
      <c r="C657">
        <v>2325374</v>
      </c>
      <c r="D657" t="s">
        <v>415</v>
      </c>
      <c r="E657" t="s">
        <v>653</v>
      </c>
      <c r="F657" t="s">
        <v>650</v>
      </c>
      <c r="G657" t="s">
        <v>255</v>
      </c>
      <c r="H657" t="s">
        <v>641</v>
      </c>
      <c r="I657" t="s">
        <v>1278</v>
      </c>
      <c r="J657">
        <v>615</v>
      </c>
      <c r="K657" s="141">
        <v>31.734000000000002</v>
      </c>
      <c r="O657" t="s">
        <v>1275</v>
      </c>
      <c r="P657">
        <v>0</v>
      </c>
      <c r="Q657" t="s">
        <v>1275</v>
      </c>
      <c r="R657" t="s">
        <v>1276</v>
      </c>
      <c r="U657">
        <v>27</v>
      </c>
      <c r="W657" t="s">
        <v>958</v>
      </c>
      <c r="X657" t="s">
        <v>883</v>
      </c>
      <c r="Y657" t="s">
        <v>1277</v>
      </c>
      <c r="AA657" t="s">
        <v>419</v>
      </c>
      <c r="AB657">
        <v>0</v>
      </c>
      <c r="AK657" t="s">
        <v>642</v>
      </c>
      <c r="AL657" t="s">
        <v>290</v>
      </c>
    </row>
    <row r="658" spans="1:38">
      <c r="A658" s="146">
        <v>46206.195</v>
      </c>
      <c r="B658" s="146">
        <v>46205</v>
      </c>
      <c r="C658">
        <v>2325374</v>
      </c>
      <c r="D658" t="s">
        <v>415</v>
      </c>
      <c r="E658" t="s">
        <v>653</v>
      </c>
      <c r="F658" t="s">
        <v>650</v>
      </c>
      <c r="G658" t="s">
        <v>466</v>
      </c>
      <c r="H658" t="s">
        <v>641</v>
      </c>
      <c r="I658" t="s">
        <v>96</v>
      </c>
      <c r="J658">
        <v>1510</v>
      </c>
      <c r="K658" s="141">
        <v>27.029</v>
      </c>
      <c r="O658" t="s">
        <v>1279</v>
      </c>
      <c r="P658">
        <v>0</v>
      </c>
      <c r="Q658" t="s">
        <v>1279</v>
      </c>
      <c r="R658" t="s">
        <v>1280</v>
      </c>
      <c r="U658">
        <v>50</v>
      </c>
      <c r="W658" t="s">
        <v>958</v>
      </c>
      <c r="X658" t="s">
        <v>883</v>
      </c>
      <c r="Y658" t="s">
        <v>1281</v>
      </c>
      <c r="AA658" t="s">
        <v>647</v>
      </c>
      <c r="AB658">
        <v>0</v>
      </c>
      <c r="AK658" t="s">
        <v>642</v>
      </c>
      <c r="AL658" t="s">
        <v>290</v>
      </c>
    </row>
    <row r="659" spans="1:38">
      <c r="A659" s="146">
        <v>46206.434201388889</v>
      </c>
      <c r="B659" s="146">
        <v>46206</v>
      </c>
      <c r="C659">
        <v>2223535</v>
      </c>
      <c r="D659" t="s">
        <v>400</v>
      </c>
      <c r="E659" t="s">
        <v>659</v>
      </c>
      <c r="F659" t="s">
        <v>650</v>
      </c>
      <c r="G659" t="s">
        <v>229</v>
      </c>
      <c r="H659" t="s">
        <v>641</v>
      </c>
      <c r="I659" t="s">
        <v>97</v>
      </c>
      <c r="J659">
        <v>1020</v>
      </c>
      <c r="K659" s="141">
        <v>72.929999999999993</v>
      </c>
      <c r="O659" t="s">
        <v>1282</v>
      </c>
      <c r="P659">
        <v>0</v>
      </c>
      <c r="Q659" t="s">
        <v>1282</v>
      </c>
      <c r="R659" t="s">
        <v>1283</v>
      </c>
      <c r="U659">
        <v>17</v>
      </c>
      <c r="W659" t="s">
        <v>958</v>
      </c>
      <c r="X659" t="s">
        <v>883</v>
      </c>
      <c r="Y659" t="s">
        <v>1284</v>
      </c>
      <c r="AA659" t="s">
        <v>419</v>
      </c>
      <c r="AB659">
        <v>0</v>
      </c>
      <c r="AK659" t="s">
        <v>642</v>
      </c>
      <c r="AL659" t="s">
        <v>290</v>
      </c>
    </row>
    <row r="660" spans="1:38">
      <c r="A660" s="146">
        <v>46206.445138888892</v>
      </c>
      <c r="B660" s="146">
        <v>46206</v>
      </c>
      <c r="C660">
        <v>2020390</v>
      </c>
      <c r="D660" t="s">
        <v>382</v>
      </c>
      <c r="E660" t="s">
        <v>659</v>
      </c>
      <c r="F660" t="s">
        <v>650</v>
      </c>
      <c r="G660" t="s">
        <v>1285</v>
      </c>
      <c r="H660" t="s">
        <v>641</v>
      </c>
      <c r="I660" t="s">
        <v>1290</v>
      </c>
      <c r="J660">
        <v>840</v>
      </c>
      <c r="K660" s="141">
        <v>58.548000000000002</v>
      </c>
      <c r="O660" t="s">
        <v>1282</v>
      </c>
      <c r="P660">
        <v>0</v>
      </c>
      <c r="Q660" t="s">
        <v>1282</v>
      </c>
      <c r="R660" t="s">
        <v>1286</v>
      </c>
      <c r="U660">
        <v>10</v>
      </c>
      <c r="W660" t="s">
        <v>958</v>
      </c>
      <c r="X660" t="s">
        <v>883</v>
      </c>
      <c r="Y660" t="s">
        <v>1287</v>
      </c>
      <c r="AA660" t="s">
        <v>419</v>
      </c>
      <c r="AB660">
        <v>0</v>
      </c>
      <c r="AK660" t="s">
        <v>642</v>
      </c>
      <c r="AL660" t="s">
        <v>290</v>
      </c>
    </row>
    <row r="661" spans="1:38">
      <c r="A661" s="146">
        <v>46206.527175925927</v>
      </c>
      <c r="B661" s="146">
        <v>46206</v>
      </c>
      <c r="C661">
        <v>2224288</v>
      </c>
      <c r="D661" t="s">
        <v>401</v>
      </c>
      <c r="E661" t="s">
        <v>659</v>
      </c>
      <c r="F661" t="s">
        <v>650</v>
      </c>
      <c r="G661" t="s">
        <v>222</v>
      </c>
      <c r="H661" t="s">
        <v>641</v>
      </c>
      <c r="I661" t="s">
        <v>98</v>
      </c>
      <c r="J661">
        <v>2210</v>
      </c>
      <c r="K661" s="141">
        <v>39.558999999999997</v>
      </c>
      <c r="O661" t="s">
        <v>663</v>
      </c>
      <c r="P661">
        <v>0</v>
      </c>
      <c r="Q661" t="s">
        <v>663</v>
      </c>
      <c r="U661">
        <v>50</v>
      </c>
      <c r="W661" t="s">
        <v>958</v>
      </c>
      <c r="X661" t="s">
        <v>883</v>
      </c>
      <c r="Y661" t="s">
        <v>1288</v>
      </c>
      <c r="AA661" t="s">
        <v>647</v>
      </c>
      <c r="AB661">
        <v>0</v>
      </c>
      <c r="AK661" t="s">
        <v>642</v>
      </c>
      <c r="AL661" t="s">
        <v>290</v>
      </c>
    </row>
    <row r="662" spans="1:38">
      <c r="A662" s="146">
        <v>46206.547974537039</v>
      </c>
      <c r="B662" s="146">
        <v>46206</v>
      </c>
      <c r="C662">
        <v>2223535</v>
      </c>
      <c r="D662" t="s">
        <v>400</v>
      </c>
      <c r="E662" t="s">
        <v>659</v>
      </c>
      <c r="F662" t="s">
        <v>650</v>
      </c>
      <c r="G662" t="s">
        <v>247</v>
      </c>
      <c r="H662" t="s">
        <v>641</v>
      </c>
      <c r="I662" t="s">
        <v>97</v>
      </c>
      <c r="J662">
        <v>1020</v>
      </c>
      <c r="K662" s="141">
        <v>72.929999999999993</v>
      </c>
      <c r="O662" t="s">
        <v>1282</v>
      </c>
      <c r="P662">
        <v>0</v>
      </c>
      <c r="Q662" t="s">
        <v>1282</v>
      </c>
      <c r="R662" t="s">
        <v>1283</v>
      </c>
      <c r="U662">
        <v>17</v>
      </c>
      <c r="W662" t="s">
        <v>958</v>
      </c>
      <c r="X662" t="s">
        <v>883</v>
      </c>
      <c r="Y662" t="s">
        <v>1289</v>
      </c>
      <c r="AA662" t="s">
        <v>419</v>
      </c>
      <c r="AB662">
        <v>0</v>
      </c>
      <c r="AK662" t="s">
        <v>642</v>
      </c>
      <c r="AL662" t="s">
        <v>290</v>
      </c>
    </row>
    <row r="663" spans="1:38">
      <c r="A663" s="146">
        <v>46206.556296296294</v>
      </c>
      <c r="B663" s="146">
        <v>46206</v>
      </c>
      <c r="C663">
        <v>2021645</v>
      </c>
      <c r="D663" t="s">
        <v>629</v>
      </c>
      <c r="E663" t="s">
        <v>659</v>
      </c>
      <c r="F663" t="s">
        <v>650</v>
      </c>
      <c r="G663" t="s">
        <v>223</v>
      </c>
      <c r="H663" t="s">
        <v>641</v>
      </c>
      <c r="I663" t="s">
        <v>94</v>
      </c>
      <c r="J663">
        <v>2330</v>
      </c>
      <c r="K663" s="141">
        <v>81.317000000000007</v>
      </c>
      <c r="O663" t="s">
        <v>1282</v>
      </c>
      <c r="P663">
        <v>0</v>
      </c>
      <c r="Q663" t="s">
        <v>1282</v>
      </c>
      <c r="U663">
        <v>42</v>
      </c>
      <c r="W663" t="s">
        <v>958</v>
      </c>
      <c r="X663" t="s">
        <v>883</v>
      </c>
      <c r="Y663" t="s">
        <v>1291</v>
      </c>
      <c r="AA663" t="s">
        <v>419</v>
      </c>
      <c r="AB663">
        <v>0</v>
      </c>
      <c r="AK663" t="s">
        <v>642</v>
      </c>
      <c r="AL663" t="s">
        <v>290</v>
      </c>
    </row>
    <row r="664" spans="1:38">
      <c r="A664" s="146">
        <v>46206.556296296294</v>
      </c>
      <c r="B664" s="146">
        <v>46206</v>
      </c>
      <c r="C664">
        <v>2226596</v>
      </c>
      <c r="D664" t="s">
        <v>403</v>
      </c>
      <c r="E664" t="s">
        <v>659</v>
      </c>
      <c r="F664" t="s">
        <v>650</v>
      </c>
      <c r="G664" t="s">
        <v>468</v>
      </c>
      <c r="H664" t="s">
        <v>641</v>
      </c>
      <c r="I664" t="s">
        <v>1292</v>
      </c>
      <c r="J664">
        <v>3710</v>
      </c>
      <c r="K664" s="141">
        <v>28.02</v>
      </c>
      <c r="O664" t="s">
        <v>925</v>
      </c>
      <c r="P664">
        <v>0</v>
      </c>
      <c r="Q664" t="s">
        <v>925</v>
      </c>
      <c r="R664" t="s">
        <v>1293</v>
      </c>
      <c r="U664">
        <v>60</v>
      </c>
      <c r="W664" t="s">
        <v>958</v>
      </c>
      <c r="X664" t="s">
        <v>883</v>
      </c>
      <c r="Y664" t="s">
        <v>1161</v>
      </c>
      <c r="AA664" t="s">
        <v>647</v>
      </c>
      <c r="AB664">
        <v>0</v>
      </c>
      <c r="AK664" t="s">
        <v>642</v>
      </c>
      <c r="AL664" t="s">
        <v>290</v>
      </c>
    </row>
    <row r="665" spans="1:38">
      <c r="A665" s="146">
        <v>46206.787476851852</v>
      </c>
      <c r="B665" s="146">
        <v>46205</v>
      </c>
      <c r="C665">
        <v>2325295</v>
      </c>
      <c r="D665" t="s">
        <v>411</v>
      </c>
      <c r="E665" t="s">
        <v>643</v>
      </c>
      <c r="F665" t="s">
        <v>650</v>
      </c>
      <c r="G665" t="s">
        <v>264</v>
      </c>
      <c r="H665" t="s">
        <v>641</v>
      </c>
      <c r="I665" t="s">
        <v>1295</v>
      </c>
      <c r="J665">
        <v>1845</v>
      </c>
      <c r="K665" s="141">
        <v>95.201999999999998</v>
      </c>
      <c r="O665" t="s">
        <v>1282</v>
      </c>
      <c r="P665">
        <v>0</v>
      </c>
      <c r="Q665" t="s">
        <v>1282</v>
      </c>
      <c r="U665">
        <v>27</v>
      </c>
      <c r="W665" t="s">
        <v>958</v>
      </c>
      <c r="X665" t="s">
        <v>883</v>
      </c>
      <c r="Y665" t="s">
        <v>1294</v>
      </c>
      <c r="AA665" t="s">
        <v>419</v>
      </c>
      <c r="AB665">
        <v>0</v>
      </c>
      <c r="AK665" t="s">
        <v>642</v>
      </c>
      <c r="AL665" t="s">
        <v>290</v>
      </c>
    </row>
    <row r="666" spans="1:38">
      <c r="A666" s="146">
        <v>46206.845532407409</v>
      </c>
      <c r="B666" s="146">
        <v>46205</v>
      </c>
      <c r="C666">
        <v>2325295</v>
      </c>
      <c r="D666" t="s">
        <v>411</v>
      </c>
      <c r="E666" t="s">
        <v>643</v>
      </c>
      <c r="F666" t="s">
        <v>650</v>
      </c>
      <c r="G666" t="s">
        <v>466</v>
      </c>
      <c r="H666" t="s">
        <v>641</v>
      </c>
      <c r="I666" t="s">
        <v>1298</v>
      </c>
      <c r="J666">
        <v>6040</v>
      </c>
      <c r="K666" s="141">
        <v>108.116</v>
      </c>
      <c r="O666" t="s">
        <v>1296</v>
      </c>
      <c r="P666">
        <v>0</v>
      </c>
      <c r="Q666" t="s">
        <v>1296</v>
      </c>
      <c r="U666">
        <v>50</v>
      </c>
      <c r="W666" t="s">
        <v>958</v>
      </c>
      <c r="X666" t="s">
        <v>883</v>
      </c>
      <c r="Y666" t="s">
        <v>1297</v>
      </c>
      <c r="AA666" t="s">
        <v>647</v>
      </c>
      <c r="AB666">
        <v>0</v>
      </c>
      <c r="AK666" t="s">
        <v>642</v>
      </c>
      <c r="AL666" t="s">
        <v>290</v>
      </c>
    </row>
    <row r="667" spans="1:38">
      <c r="A667" s="146">
        <v>46206.880208333336</v>
      </c>
      <c r="B667" s="146">
        <v>46205</v>
      </c>
      <c r="C667">
        <v>2020965</v>
      </c>
      <c r="D667" t="s">
        <v>386</v>
      </c>
      <c r="E667" t="s">
        <v>643</v>
      </c>
      <c r="F667" t="s">
        <v>650</v>
      </c>
      <c r="G667" t="s">
        <v>247</v>
      </c>
      <c r="H667" t="s">
        <v>641</v>
      </c>
      <c r="I667" t="s">
        <v>1300</v>
      </c>
      <c r="J667">
        <v>1530</v>
      </c>
      <c r="K667" s="141">
        <v>109.395</v>
      </c>
      <c r="O667" t="s">
        <v>1275</v>
      </c>
      <c r="P667">
        <v>0</v>
      </c>
      <c r="Q667" t="s">
        <v>1275</v>
      </c>
      <c r="U667">
        <v>17</v>
      </c>
      <c r="W667" t="s">
        <v>958</v>
      </c>
      <c r="X667" t="s">
        <v>883</v>
      </c>
      <c r="Y667" t="s">
        <v>1299</v>
      </c>
      <c r="AA667" t="s">
        <v>419</v>
      </c>
      <c r="AB667">
        <v>0</v>
      </c>
      <c r="AK667" t="s">
        <v>642</v>
      </c>
      <c r="AL667" t="s">
        <v>290</v>
      </c>
    </row>
    <row r="668" spans="1:38">
      <c r="A668" s="146">
        <v>46206.907962962963</v>
      </c>
      <c r="B668" s="146">
        <v>46205</v>
      </c>
      <c r="C668">
        <v>2228947</v>
      </c>
      <c r="D668" t="s">
        <v>416</v>
      </c>
      <c r="E668" t="s">
        <v>643</v>
      </c>
      <c r="F668" t="s">
        <v>650</v>
      </c>
      <c r="G668" t="s">
        <v>702</v>
      </c>
      <c r="H668" t="s">
        <v>641</v>
      </c>
      <c r="I668" t="s">
        <v>1302</v>
      </c>
      <c r="J668">
        <v>3210</v>
      </c>
      <c r="K668" s="141">
        <v>27.927</v>
      </c>
      <c r="O668" t="s">
        <v>848</v>
      </c>
      <c r="P668">
        <v>0</v>
      </c>
      <c r="Q668" t="s">
        <v>848</v>
      </c>
      <c r="U668">
        <v>70</v>
      </c>
      <c r="W668" t="s">
        <v>958</v>
      </c>
      <c r="X668" t="s">
        <v>883</v>
      </c>
      <c r="Y668" t="s">
        <v>1301</v>
      </c>
      <c r="AA668" t="s">
        <v>647</v>
      </c>
      <c r="AB668">
        <v>0</v>
      </c>
      <c r="AK668" t="s">
        <v>642</v>
      </c>
      <c r="AL668" t="s">
        <v>290</v>
      </c>
    </row>
    <row r="669" spans="1:38">
      <c r="A669" s="146">
        <v>46207.136979166666</v>
      </c>
      <c r="B669" s="146">
        <v>46206</v>
      </c>
      <c r="C669">
        <v>2325374</v>
      </c>
      <c r="D669" t="s">
        <v>415</v>
      </c>
      <c r="E669" t="s">
        <v>653</v>
      </c>
      <c r="F669" t="s">
        <v>650</v>
      </c>
      <c r="G669" t="s">
        <v>1303</v>
      </c>
      <c r="H669" t="s">
        <v>641</v>
      </c>
      <c r="I669" t="s">
        <v>1309</v>
      </c>
      <c r="J669">
        <v>900</v>
      </c>
      <c r="K669" s="141">
        <v>46.44</v>
      </c>
      <c r="O669" t="s">
        <v>1275</v>
      </c>
      <c r="P669">
        <v>0</v>
      </c>
      <c r="Q669" t="s">
        <v>1275</v>
      </c>
      <c r="R669" t="s">
        <v>1304</v>
      </c>
      <c r="U669">
        <v>27</v>
      </c>
      <c r="W669" t="s">
        <v>958</v>
      </c>
      <c r="X669" t="s">
        <v>883</v>
      </c>
      <c r="Y669" t="s">
        <v>1305</v>
      </c>
      <c r="AA669" t="s">
        <v>419</v>
      </c>
      <c r="AB669">
        <v>0</v>
      </c>
      <c r="AK669" t="s">
        <v>642</v>
      </c>
      <c r="AL669" t="s">
        <v>290</v>
      </c>
    </row>
    <row r="670" spans="1:38">
      <c r="A670" s="146">
        <v>46207.138136574074</v>
      </c>
      <c r="B670" s="146">
        <v>46206</v>
      </c>
      <c r="C670">
        <v>2325374</v>
      </c>
      <c r="D670" t="s">
        <v>415</v>
      </c>
      <c r="E670" t="s">
        <v>653</v>
      </c>
      <c r="F670" t="s">
        <v>650</v>
      </c>
      <c r="G670" t="s">
        <v>675</v>
      </c>
      <c r="H670" t="s">
        <v>641</v>
      </c>
      <c r="I670" t="s">
        <v>1310</v>
      </c>
      <c r="J670">
        <v>2400</v>
      </c>
      <c r="K670" s="141">
        <v>42.96</v>
      </c>
      <c r="O670" t="s">
        <v>1306</v>
      </c>
      <c r="P670">
        <v>0</v>
      </c>
      <c r="Q670" t="s">
        <v>1306</v>
      </c>
      <c r="R670" t="s">
        <v>1307</v>
      </c>
      <c r="U670">
        <v>50</v>
      </c>
      <c r="W670" t="s">
        <v>958</v>
      </c>
      <c r="X670" t="s">
        <v>883</v>
      </c>
      <c r="Y670" t="s">
        <v>1308</v>
      </c>
      <c r="AA670" t="s">
        <v>647</v>
      </c>
      <c r="AB670">
        <v>0</v>
      </c>
      <c r="AK670" t="s">
        <v>642</v>
      </c>
      <c r="AL670" t="s">
        <v>290</v>
      </c>
    </row>
    <row r="671" spans="1:38">
      <c r="A671" s="146">
        <v>46209.558796296296</v>
      </c>
      <c r="B671" s="146">
        <v>46209</v>
      </c>
      <c r="C671">
        <v>2228947</v>
      </c>
      <c r="D671" t="s">
        <v>416</v>
      </c>
      <c r="E671" t="s">
        <v>659</v>
      </c>
      <c r="F671" t="s">
        <v>650</v>
      </c>
      <c r="G671" t="s">
        <v>1311</v>
      </c>
      <c r="H671" t="s">
        <v>641</v>
      </c>
      <c r="I671" t="s">
        <v>1313</v>
      </c>
      <c r="J671">
        <v>9630</v>
      </c>
      <c r="K671" s="141">
        <v>83.780999999999992</v>
      </c>
      <c r="O671" t="s">
        <v>1306</v>
      </c>
      <c r="P671">
        <v>0</v>
      </c>
      <c r="Q671" t="s">
        <v>1306</v>
      </c>
      <c r="U671">
        <v>70</v>
      </c>
      <c r="W671" t="s">
        <v>958</v>
      </c>
      <c r="X671" t="s">
        <v>883</v>
      </c>
      <c r="Y671" t="s">
        <v>1312</v>
      </c>
      <c r="AA671" t="s">
        <v>647</v>
      </c>
      <c r="AB671">
        <v>0</v>
      </c>
      <c r="AK671" t="s">
        <v>642</v>
      </c>
      <c r="AL671" t="s">
        <v>290</v>
      </c>
    </row>
    <row r="672" spans="1:38">
      <c r="A672" s="146">
        <v>46209.574895833335</v>
      </c>
      <c r="B672" s="146">
        <v>46209</v>
      </c>
      <c r="C672">
        <v>2325310</v>
      </c>
      <c r="D672" t="s">
        <v>413</v>
      </c>
      <c r="E672" t="s">
        <v>659</v>
      </c>
      <c r="F672" t="s">
        <v>650</v>
      </c>
      <c r="G672" t="s">
        <v>229</v>
      </c>
      <c r="H672" t="s">
        <v>641</v>
      </c>
      <c r="I672" t="s">
        <v>101</v>
      </c>
      <c r="J672">
        <v>2040</v>
      </c>
      <c r="K672" s="141">
        <v>145.85999999999999</v>
      </c>
      <c r="O672" t="s">
        <v>1306</v>
      </c>
      <c r="P672">
        <v>0</v>
      </c>
      <c r="Q672" t="s">
        <v>1306</v>
      </c>
      <c r="U672">
        <v>17</v>
      </c>
      <c r="W672" t="s">
        <v>958</v>
      </c>
      <c r="X672" t="s">
        <v>883</v>
      </c>
      <c r="Y672" t="s">
        <v>1314</v>
      </c>
      <c r="AA672" t="s">
        <v>419</v>
      </c>
      <c r="AB672">
        <v>0</v>
      </c>
      <c r="AK672" t="s">
        <v>642</v>
      </c>
      <c r="AL672" t="s">
        <v>290</v>
      </c>
    </row>
    <row r="673" spans="1:39">
      <c r="A673" s="146">
        <v>46209.579768518517</v>
      </c>
      <c r="B673" s="146">
        <v>46209</v>
      </c>
      <c r="C673">
        <v>2022158</v>
      </c>
      <c r="D673" t="s">
        <v>394</v>
      </c>
      <c r="E673" t="s">
        <v>659</v>
      </c>
      <c r="F673" t="s">
        <v>650</v>
      </c>
      <c r="G673" t="s">
        <v>250</v>
      </c>
      <c r="H673" t="s">
        <v>641</v>
      </c>
      <c r="I673" t="s">
        <v>99</v>
      </c>
      <c r="J673">
        <v>420</v>
      </c>
      <c r="K673" s="141">
        <v>58.548000000000002</v>
      </c>
      <c r="O673" t="s">
        <v>1315</v>
      </c>
      <c r="P673">
        <v>0</v>
      </c>
      <c r="Q673" t="s">
        <v>1315</v>
      </c>
      <c r="U673">
        <v>10</v>
      </c>
      <c r="W673" t="s">
        <v>958</v>
      </c>
      <c r="X673" t="s">
        <v>883</v>
      </c>
      <c r="Y673" t="s">
        <v>1316</v>
      </c>
      <c r="AA673" t="s">
        <v>419</v>
      </c>
      <c r="AB673">
        <v>0</v>
      </c>
      <c r="AK673" t="s">
        <v>642</v>
      </c>
      <c r="AL673" t="s">
        <v>290</v>
      </c>
    </row>
    <row r="674" spans="1:39">
      <c r="A674" s="146">
        <v>46209.579768518517</v>
      </c>
      <c r="B674" s="146">
        <v>46209</v>
      </c>
      <c r="C674">
        <v>2243991</v>
      </c>
      <c r="D674" t="s">
        <v>410</v>
      </c>
      <c r="E674" t="s">
        <v>643</v>
      </c>
      <c r="F674" t="s">
        <v>650</v>
      </c>
      <c r="G674" t="s">
        <v>702</v>
      </c>
      <c r="H674" t="s">
        <v>641</v>
      </c>
      <c r="I674" t="s">
        <v>1317</v>
      </c>
      <c r="J674">
        <v>6420</v>
      </c>
      <c r="K674" s="141">
        <v>28.02</v>
      </c>
      <c r="O674" t="s">
        <v>925</v>
      </c>
      <c r="P674">
        <v>0</v>
      </c>
      <c r="Q674" t="s">
        <v>925</v>
      </c>
      <c r="R674" t="s">
        <v>1318</v>
      </c>
      <c r="U674">
        <v>60</v>
      </c>
      <c r="W674" t="s">
        <v>958</v>
      </c>
      <c r="X674" t="s">
        <v>883</v>
      </c>
      <c r="Y674" t="s">
        <v>1161</v>
      </c>
      <c r="AA674" t="s">
        <v>647</v>
      </c>
      <c r="AB674">
        <v>0</v>
      </c>
      <c r="AK674" t="s">
        <v>642</v>
      </c>
      <c r="AL674" t="s">
        <v>290</v>
      </c>
    </row>
    <row r="675" spans="1:39">
      <c r="A675" s="146">
        <v>46209.579768518517</v>
      </c>
      <c r="B675" s="146">
        <v>46209</v>
      </c>
      <c r="C675">
        <v>2243991</v>
      </c>
      <c r="D675" t="s">
        <v>410</v>
      </c>
      <c r="E675" t="s">
        <v>643</v>
      </c>
      <c r="F675" t="s">
        <v>650</v>
      </c>
      <c r="G675" t="s">
        <v>225</v>
      </c>
      <c r="H675" t="s">
        <v>641</v>
      </c>
      <c r="I675" t="s">
        <v>1319</v>
      </c>
      <c r="J675">
        <v>930</v>
      </c>
      <c r="K675" s="141">
        <v>20</v>
      </c>
      <c r="O675" t="s">
        <v>1231</v>
      </c>
      <c r="P675">
        <v>0</v>
      </c>
      <c r="Q675" t="s">
        <v>1231</v>
      </c>
      <c r="U675">
        <v>30</v>
      </c>
      <c r="W675" t="s">
        <v>958</v>
      </c>
      <c r="X675" t="s">
        <v>883</v>
      </c>
      <c r="Y675" t="s">
        <v>1240</v>
      </c>
      <c r="AA675" t="s">
        <v>419</v>
      </c>
      <c r="AB675">
        <v>0</v>
      </c>
      <c r="AK675" t="s">
        <v>642</v>
      </c>
      <c r="AL675" t="s">
        <v>290</v>
      </c>
    </row>
    <row r="676" spans="1:39">
      <c r="A676" s="146">
        <v>46209.785682870373</v>
      </c>
      <c r="B676" s="146">
        <v>46209</v>
      </c>
      <c r="C676">
        <v>2325374</v>
      </c>
      <c r="D676" t="s">
        <v>415</v>
      </c>
      <c r="E676" t="s">
        <v>643</v>
      </c>
      <c r="F676" t="s">
        <v>654</v>
      </c>
      <c r="G676" t="s">
        <v>673</v>
      </c>
      <c r="H676" t="s">
        <v>641</v>
      </c>
      <c r="I676" t="s">
        <v>96</v>
      </c>
      <c r="J676">
        <v>4530</v>
      </c>
      <c r="K676" s="141">
        <v>91.052999999999997</v>
      </c>
      <c r="L676">
        <v>23</v>
      </c>
      <c r="M676">
        <v>3</v>
      </c>
      <c r="N676">
        <v>117.053</v>
      </c>
      <c r="O676" t="s">
        <v>1306</v>
      </c>
      <c r="P676">
        <v>0</v>
      </c>
      <c r="Q676" t="s">
        <v>1306</v>
      </c>
      <c r="R676" t="s">
        <v>1320</v>
      </c>
      <c r="S676">
        <v>2.3333333333333335</v>
      </c>
      <c r="T676">
        <v>4</v>
      </c>
      <c r="U676">
        <v>45</v>
      </c>
      <c r="V676">
        <v>0.41944444444444445</v>
      </c>
      <c r="W676" t="s">
        <v>958</v>
      </c>
      <c r="X676" t="s">
        <v>883</v>
      </c>
      <c r="Y676" t="s">
        <v>1321</v>
      </c>
      <c r="AA676" t="s">
        <v>647</v>
      </c>
      <c r="AB676">
        <v>0</v>
      </c>
      <c r="AD676">
        <v>0</v>
      </c>
      <c r="AE676">
        <v>0</v>
      </c>
      <c r="AF676">
        <v>0</v>
      </c>
      <c r="AI676">
        <v>3</v>
      </c>
      <c r="AJ676">
        <v>4530</v>
      </c>
      <c r="AK676" t="s">
        <v>642</v>
      </c>
      <c r="AL676" t="s">
        <v>290</v>
      </c>
      <c r="AM676">
        <v>2</v>
      </c>
    </row>
    <row r="677" spans="1:39">
      <c r="A677" s="146">
        <v>46209.785682870373</v>
      </c>
      <c r="B677" s="146">
        <v>46209</v>
      </c>
      <c r="C677">
        <v>2325374</v>
      </c>
      <c r="D677" t="s">
        <v>415</v>
      </c>
      <c r="E677" t="s">
        <v>643</v>
      </c>
      <c r="F677" t="s">
        <v>650</v>
      </c>
      <c r="G677" t="s">
        <v>673</v>
      </c>
      <c r="H677" t="s">
        <v>641</v>
      </c>
      <c r="I677" t="s">
        <v>96</v>
      </c>
      <c r="J677">
        <v>3020</v>
      </c>
      <c r="K677" s="141">
        <v>60.701999999999998</v>
      </c>
      <c r="O677" t="s">
        <v>1306</v>
      </c>
      <c r="P677">
        <v>0</v>
      </c>
      <c r="Q677" t="s">
        <v>1306</v>
      </c>
      <c r="R677" t="s">
        <v>1320</v>
      </c>
      <c r="U677">
        <v>45</v>
      </c>
      <c r="W677" t="s">
        <v>958</v>
      </c>
      <c r="X677" t="s">
        <v>883</v>
      </c>
      <c r="Y677" t="s">
        <v>1321</v>
      </c>
      <c r="AA677" t="s">
        <v>647</v>
      </c>
      <c r="AB677">
        <v>0</v>
      </c>
      <c r="AK677" t="s">
        <v>642</v>
      </c>
      <c r="AL677" t="s">
        <v>290</v>
      </c>
    </row>
    <row r="678" spans="1:39">
      <c r="A678" s="146">
        <v>46209.873090277775</v>
      </c>
      <c r="B678" s="146">
        <v>46209</v>
      </c>
      <c r="C678">
        <v>2222785</v>
      </c>
      <c r="D678" t="s">
        <v>399</v>
      </c>
      <c r="E678" t="s">
        <v>643</v>
      </c>
      <c r="F678" t="s">
        <v>650</v>
      </c>
      <c r="G678" t="s">
        <v>250</v>
      </c>
      <c r="H678" t="s">
        <v>641</v>
      </c>
      <c r="I678" t="s">
        <v>99</v>
      </c>
      <c r="J678">
        <v>300</v>
      </c>
      <c r="K678" s="141">
        <v>41.82</v>
      </c>
      <c r="M678">
        <v>3</v>
      </c>
      <c r="N678">
        <v>44.82</v>
      </c>
      <c r="O678" t="s">
        <v>1323</v>
      </c>
      <c r="P678">
        <v>0</v>
      </c>
      <c r="Q678" t="s">
        <v>1323</v>
      </c>
      <c r="R678" t="s">
        <v>1322</v>
      </c>
      <c r="S678">
        <v>0</v>
      </c>
      <c r="T678">
        <v>0.5</v>
      </c>
      <c r="U678">
        <v>10</v>
      </c>
      <c r="V678">
        <v>1</v>
      </c>
      <c r="W678" t="s">
        <v>958</v>
      </c>
      <c r="X678" t="s">
        <v>883</v>
      </c>
      <c r="Y678" t="s">
        <v>1324</v>
      </c>
      <c r="AA678" t="s">
        <v>419</v>
      </c>
      <c r="AB678">
        <v>0</v>
      </c>
      <c r="AG678">
        <v>1</v>
      </c>
      <c r="AH678">
        <v>300</v>
      </c>
      <c r="AK678" t="s">
        <v>642</v>
      </c>
      <c r="AL678" t="s">
        <v>290</v>
      </c>
      <c r="AM678">
        <v>2</v>
      </c>
    </row>
    <row r="679" spans="1:39">
      <c r="A679" s="146">
        <v>46209.873090277775</v>
      </c>
      <c r="B679" s="146">
        <v>46209</v>
      </c>
      <c r="C679">
        <v>2020390</v>
      </c>
      <c r="D679" t="s">
        <v>382</v>
      </c>
      <c r="E679" t="s">
        <v>653</v>
      </c>
      <c r="F679" t="s">
        <v>650</v>
      </c>
      <c r="G679" t="s">
        <v>250</v>
      </c>
      <c r="H679" t="s">
        <v>641</v>
      </c>
      <c r="I679" t="s">
        <v>1325</v>
      </c>
      <c r="J679">
        <v>420</v>
      </c>
      <c r="K679" s="141">
        <v>58.548000000000002</v>
      </c>
      <c r="O679" t="s">
        <v>1282</v>
      </c>
      <c r="P679">
        <v>0</v>
      </c>
      <c r="Q679" t="s">
        <v>1282</v>
      </c>
      <c r="R679" t="s">
        <v>1286</v>
      </c>
      <c r="U679">
        <v>10</v>
      </c>
      <c r="W679" t="s">
        <v>958</v>
      </c>
      <c r="X679" t="s">
        <v>883</v>
      </c>
      <c r="Y679" t="s">
        <v>1287</v>
      </c>
      <c r="AA679" t="s">
        <v>419</v>
      </c>
      <c r="AB679">
        <v>0</v>
      </c>
      <c r="AK679" t="s">
        <v>642</v>
      </c>
      <c r="AL679" t="s">
        <v>290</v>
      </c>
    </row>
    <row r="680" spans="1:39">
      <c r="A680" s="146">
        <v>46210.217499999999</v>
      </c>
      <c r="B680" s="146">
        <v>46209</v>
      </c>
      <c r="C680">
        <v>2224288</v>
      </c>
      <c r="D680" t="s">
        <v>401</v>
      </c>
      <c r="E680" t="s">
        <v>653</v>
      </c>
      <c r="F680" t="s">
        <v>650</v>
      </c>
      <c r="G680" t="s">
        <v>222</v>
      </c>
      <c r="H680" t="s">
        <v>641</v>
      </c>
      <c r="I680" t="s">
        <v>98</v>
      </c>
      <c r="J680">
        <v>3720</v>
      </c>
      <c r="K680" s="141">
        <v>66.587999999999994</v>
      </c>
      <c r="O680" t="s">
        <v>1323</v>
      </c>
      <c r="P680">
        <v>0</v>
      </c>
      <c r="Q680" t="s">
        <v>1323</v>
      </c>
      <c r="U680">
        <v>50</v>
      </c>
      <c r="W680" t="s">
        <v>958</v>
      </c>
      <c r="X680" t="s">
        <v>883</v>
      </c>
      <c r="Y680" t="s">
        <v>1326</v>
      </c>
      <c r="AA680" t="s">
        <v>419</v>
      </c>
      <c r="AB680">
        <v>0</v>
      </c>
      <c r="AK680" t="s">
        <v>642</v>
      </c>
      <c r="AL680" t="s">
        <v>290</v>
      </c>
    </row>
    <row r="681" spans="1:39">
      <c r="A681" s="146">
        <v>46209.873090277775</v>
      </c>
      <c r="B681" s="146">
        <v>46209</v>
      </c>
      <c r="C681">
        <v>2020390</v>
      </c>
      <c r="D681" t="s">
        <v>382</v>
      </c>
      <c r="E681" t="s">
        <v>653</v>
      </c>
      <c r="F681" t="s">
        <v>650</v>
      </c>
      <c r="G681" t="s">
        <v>236</v>
      </c>
      <c r="H681" t="s">
        <v>641</v>
      </c>
      <c r="I681" t="s">
        <v>1327</v>
      </c>
      <c r="J681">
        <v>1020</v>
      </c>
      <c r="K681" s="141">
        <v>72.929999999999993</v>
      </c>
      <c r="O681" t="s">
        <v>1282</v>
      </c>
      <c r="P681">
        <v>0</v>
      </c>
      <c r="Q681" t="s">
        <v>1282</v>
      </c>
      <c r="R681" t="s">
        <v>1283</v>
      </c>
      <c r="U681">
        <v>17</v>
      </c>
      <c r="W681" t="s">
        <v>958</v>
      </c>
      <c r="X681" t="s">
        <v>883</v>
      </c>
      <c r="Y681" t="s">
        <v>1284</v>
      </c>
      <c r="AA681" t="s">
        <v>419</v>
      </c>
      <c r="AB681">
        <v>0</v>
      </c>
      <c r="AK681" t="s">
        <v>642</v>
      </c>
      <c r="AL681" t="s">
        <v>290</v>
      </c>
    </row>
    <row r="682" spans="1:39">
      <c r="A682" s="146">
        <v>46210.225162037037</v>
      </c>
      <c r="B682" s="146">
        <v>46209</v>
      </c>
      <c r="C682">
        <v>2021645</v>
      </c>
      <c r="D682" t="s">
        <v>629</v>
      </c>
      <c r="E682" t="s">
        <v>653</v>
      </c>
      <c r="F682" t="s">
        <v>650</v>
      </c>
      <c r="G682" t="s">
        <v>223</v>
      </c>
      <c r="H682" t="s">
        <v>641</v>
      </c>
      <c r="I682" t="s">
        <v>94</v>
      </c>
      <c r="J682">
        <v>2330</v>
      </c>
      <c r="K682" s="141">
        <v>81.317000000000007</v>
      </c>
      <c r="O682" t="s">
        <v>1323</v>
      </c>
      <c r="P682">
        <v>0</v>
      </c>
      <c r="Q682" t="s">
        <v>1323</v>
      </c>
      <c r="U682">
        <v>42</v>
      </c>
      <c r="W682" t="s">
        <v>958</v>
      </c>
      <c r="X682" t="s">
        <v>883</v>
      </c>
      <c r="Y682" t="s">
        <v>1328</v>
      </c>
      <c r="AA682" t="s">
        <v>419</v>
      </c>
      <c r="AB682">
        <v>0</v>
      </c>
      <c r="AK682" t="s">
        <v>642</v>
      </c>
      <c r="AL682" t="s">
        <v>290</v>
      </c>
    </row>
    <row r="683" spans="1:39">
      <c r="A683" s="146">
        <v>46210.225162037037</v>
      </c>
      <c r="B683" s="146">
        <v>46209</v>
      </c>
      <c r="C683">
        <v>2226596</v>
      </c>
      <c r="D683" t="s">
        <v>403</v>
      </c>
      <c r="E683" t="s">
        <v>653</v>
      </c>
      <c r="F683" t="s">
        <v>650</v>
      </c>
      <c r="G683" t="s">
        <v>233</v>
      </c>
      <c r="H683" t="s">
        <v>641</v>
      </c>
      <c r="I683" t="s">
        <v>1329</v>
      </c>
      <c r="J683">
        <v>915</v>
      </c>
      <c r="K683" s="141">
        <v>46.28</v>
      </c>
      <c r="O683" t="s">
        <v>1323</v>
      </c>
      <c r="P683">
        <v>0</v>
      </c>
      <c r="Q683" t="s">
        <v>1323</v>
      </c>
      <c r="R683" t="s">
        <v>1330</v>
      </c>
      <c r="U683">
        <v>21</v>
      </c>
      <c r="W683" t="s">
        <v>958</v>
      </c>
      <c r="X683" t="s">
        <v>883</v>
      </c>
      <c r="Y683" t="s">
        <v>1328</v>
      </c>
      <c r="AA683" t="s">
        <v>419</v>
      </c>
      <c r="AB683">
        <v>0</v>
      </c>
      <c r="AK683" t="s">
        <v>642</v>
      </c>
      <c r="AL683" t="s">
        <v>290</v>
      </c>
    </row>
    <row r="684" spans="1:39">
      <c r="A684" s="146">
        <v>46210.225162037037</v>
      </c>
      <c r="B684" s="146">
        <v>46209</v>
      </c>
      <c r="C684">
        <v>2226596</v>
      </c>
      <c r="D684" t="s">
        <v>403</v>
      </c>
      <c r="E684" t="s">
        <v>653</v>
      </c>
      <c r="F684" t="s">
        <v>650</v>
      </c>
      <c r="G684" t="s">
        <v>242</v>
      </c>
      <c r="H684" t="s">
        <v>641</v>
      </c>
      <c r="I684" t="s">
        <v>1331</v>
      </c>
      <c r="J684">
        <v>3210</v>
      </c>
      <c r="K684" s="141">
        <v>28.26</v>
      </c>
      <c r="O684" t="s">
        <v>1282</v>
      </c>
      <c r="P684">
        <v>0</v>
      </c>
      <c r="Q684" t="s">
        <v>1282</v>
      </c>
      <c r="R684" t="s">
        <v>1318</v>
      </c>
      <c r="U684">
        <v>60</v>
      </c>
      <c r="W684" t="s">
        <v>958</v>
      </c>
      <c r="X684" t="s">
        <v>883</v>
      </c>
      <c r="Y684" t="s">
        <v>1328</v>
      </c>
      <c r="AA684" t="s">
        <v>419</v>
      </c>
      <c r="AB684">
        <v>0</v>
      </c>
      <c r="AK684" t="s">
        <v>642</v>
      </c>
      <c r="AL684" t="s">
        <v>290</v>
      </c>
    </row>
    <row r="685" spans="1:39">
      <c r="A685" s="146">
        <v>46210.225162037037</v>
      </c>
      <c r="B685" s="146">
        <v>46209</v>
      </c>
      <c r="C685">
        <v>2226596</v>
      </c>
      <c r="D685" t="s">
        <v>387</v>
      </c>
      <c r="E685" t="s">
        <v>653</v>
      </c>
      <c r="F685" t="s">
        <v>650</v>
      </c>
      <c r="G685" t="s">
        <v>233</v>
      </c>
      <c r="H685" t="s">
        <v>641</v>
      </c>
      <c r="I685" t="s">
        <v>1332</v>
      </c>
      <c r="J685">
        <v>1230</v>
      </c>
      <c r="K685" s="141">
        <v>28.26</v>
      </c>
      <c r="O685" t="s">
        <v>1282</v>
      </c>
      <c r="P685">
        <v>0</v>
      </c>
      <c r="Q685" t="s">
        <v>1282</v>
      </c>
      <c r="R685" t="s">
        <v>1318</v>
      </c>
      <c r="U685">
        <v>60</v>
      </c>
      <c r="W685" t="s">
        <v>958</v>
      </c>
      <c r="X685" t="s">
        <v>883</v>
      </c>
      <c r="Y685" t="s">
        <v>1328</v>
      </c>
      <c r="AA685" t="s">
        <v>419</v>
      </c>
      <c r="AB685">
        <v>0</v>
      </c>
      <c r="AK685" t="s">
        <v>642</v>
      </c>
      <c r="AL685" t="s">
        <v>290</v>
      </c>
    </row>
    <row r="686" spans="1:39">
      <c r="A686" s="146">
        <v>46210.538657407407</v>
      </c>
      <c r="B686" s="146">
        <v>46210</v>
      </c>
      <c r="C686">
        <v>2325365</v>
      </c>
      <c r="D686" t="s">
        <v>414</v>
      </c>
      <c r="E686" t="s">
        <v>659</v>
      </c>
      <c r="F686" t="s">
        <v>650</v>
      </c>
      <c r="G686" t="s">
        <v>236</v>
      </c>
      <c r="H686" t="s">
        <v>641</v>
      </c>
      <c r="I686" t="s">
        <v>1346</v>
      </c>
      <c r="J686">
        <v>2040</v>
      </c>
      <c r="K686" s="141">
        <v>72.929999999999993</v>
      </c>
      <c r="O686" t="s">
        <v>1323</v>
      </c>
      <c r="P686">
        <v>0</v>
      </c>
      <c r="Q686" t="s">
        <v>1323</v>
      </c>
      <c r="U686">
        <v>17</v>
      </c>
      <c r="W686" t="s">
        <v>958</v>
      </c>
      <c r="X686" t="s">
        <v>883</v>
      </c>
      <c r="Y686" t="s">
        <v>1333</v>
      </c>
      <c r="AA686" t="s">
        <v>419</v>
      </c>
      <c r="AB686">
        <v>0</v>
      </c>
      <c r="AK686" t="s">
        <v>642</v>
      </c>
      <c r="AL686" t="s">
        <v>290</v>
      </c>
    </row>
    <row r="687" spans="1:39">
      <c r="A687" s="146">
        <v>46210.547025462962</v>
      </c>
      <c r="B687" s="146">
        <v>46210</v>
      </c>
      <c r="C687">
        <v>2022158</v>
      </c>
      <c r="D687" t="s">
        <v>394</v>
      </c>
      <c r="E687" t="s">
        <v>659</v>
      </c>
      <c r="F687" t="s">
        <v>650</v>
      </c>
      <c r="G687" t="s">
        <v>250</v>
      </c>
      <c r="H687" t="s">
        <v>641</v>
      </c>
      <c r="I687" t="s">
        <v>1349</v>
      </c>
      <c r="J687">
        <v>1060</v>
      </c>
      <c r="K687" s="141">
        <v>147.76400000000001</v>
      </c>
      <c r="O687" t="s">
        <v>1323</v>
      </c>
      <c r="P687">
        <v>0</v>
      </c>
      <c r="Q687" t="s">
        <v>1323</v>
      </c>
      <c r="U687">
        <v>10</v>
      </c>
      <c r="W687" t="s">
        <v>958</v>
      </c>
      <c r="X687" t="s">
        <v>883</v>
      </c>
      <c r="Y687" t="s">
        <v>1334</v>
      </c>
      <c r="AA687" t="s">
        <v>419</v>
      </c>
      <c r="AB687">
        <v>0</v>
      </c>
      <c r="AK687" t="s">
        <v>642</v>
      </c>
      <c r="AL687" t="s">
        <v>290</v>
      </c>
    </row>
    <row r="688" spans="1:39">
      <c r="A688" s="146">
        <v>46210.547395833331</v>
      </c>
      <c r="B688" s="146">
        <v>46210</v>
      </c>
      <c r="C688">
        <v>2022158</v>
      </c>
      <c r="D688" t="s">
        <v>394</v>
      </c>
      <c r="E688" t="s">
        <v>659</v>
      </c>
      <c r="F688" t="s">
        <v>650</v>
      </c>
      <c r="G688" t="s">
        <v>267</v>
      </c>
      <c r="H688" t="s">
        <v>641</v>
      </c>
      <c r="I688" t="s">
        <v>1350</v>
      </c>
      <c r="J688">
        <v>520</v>
      </c>
      <c r="K688" s="141">
        <v>58.548000000000002</v>
      </c>
      <c r="O688" t="s">
        <v>1323</v>
      </c>
      <c r="P688">
        <v>0</v>
      </c>
      <c r="Q688" t="s">
        <v>1323</v>
      </c>
      <c r="U688">
        <v>10</v>
      </c>
      <c r="W688" t="s">
        <v>958</v>
      </c>
      <c r="X688" t="s">
        <v>883</v>
      </c>
      <c r="Y688" t="s">
        <v>1335</v>
      </c>
      <c r="AA688" t="s">
        <v>419</v>
      </c>
      <c r="AB688">
        <v>0</v>
      </c>
      <c r="AK688" t="s">
        <v>642</v>
      </c>
      <c r="AL688" t="s">
        <v>290</v>
      </c>
    </row>
    <row r="689" spans="1:39">
      <c r="A689" s="146">
        <v>46210.550011574072</v>
      </c>
      <c r="B689" s="146">
        <v>46210</v>
      </c>
      <c r="C689">
        <v>2221908</v>
      </c>
      <c r="D689" t="s">
        <v>398</v>
      </c>
      <c r="E689" t="s">
        <v>659</v>
      </c>
      <c r="F689" t="s">
        <v>650</v>
      </c>
      <c r="G689" t="s">
        <v>225</v>
      </c>
      <c r="H689" t="s">
        <v>641</v>
      </c>
      <c r="I689" t="s">
        <v>1338</v>
      </c>
      <c r="J689">
        <v>930</v>
      </c>
      <c r="K689" s="141">
        <v>32.457000000000001</v>
      </c>
      <c r="O689" t="s">
        <v>1336</v>
      </c>
      <c r="P689">
        <v>2</v>
      </c>
      <c r="Q689" t="s">
        <v>1336</v>
      </c>
      <c r="U689">
        <v>30</v>
      </c>
      <c r="W689" t="s">
        <v>958</v>
      </c>
      <c r="X689" t="s">
        <v>883</v>
      </c>
      <c r="Y689" t="s">
        <v>1337</v>
      </c>
      <c r="AA689" t="s">
        <v>652</v>
      </c>
      <c r="AB689">
        <v>0</v>
      </c>
      <c r="AK689" t="s">
        <v>642</v>
      </c>
      <c r="AL689" t="s">
        <v>59</v>
      </c>
    </row>
    <row r="690" spans="1:39">
      <c r="A690" s="146">
        <v>46210.554293981484</v>
      </c>
      <c r="B690" s="146">
        <v>46210</v>
      </c>
      <c r="C690">
        <v>2020965</v>
      </c>
      <c r="D690" t="s">
        <v>386</v>
      </c>
      <c r="E690" t="s">
        <v>659</v>
      </c>
      <c r="F690" t="s">
        <v>650</v>
      </c>
      <c r="G690" t="s">
        <v>233</v>
      </c>
      <c r="H690" t="s">
        <v>641</v>
      </c>
      <c r="I690" t="s">
        <v>1341</v>
      </c>
      <c r="J690">
        <v>1230</v>
      </c>
      <c r="K690" s="141">
        <v>63.468000000000004</v>
      </c>
      <c r="O690" t="s">
        <v>1339</v>
      </c>
      <c r="P690">
        <v>0</v>
      </c>
      <c r="Q690" t="s">
        <v>1339</v>
      </c>
      <c r="U690">
        <v>21</v>
      </c>
      <c r="W690" t="s">
        <v>958</v>
      </c>
      <c r="X690" t="s">
        <v>883</v>
      </c>
      <c r="Y690" t="s">
        <v>1340</v>
      </c>
      <c r="AA690" t="s">
        <v>419</v>
      </c>
      <c r="AB690">
        <v>0</v>
      </c>
      <c r="AK690" t="s">
        <v>642</v>
      </c>
      <c r="AL690" t="s">
        <v>290</v>
      </c>
    </row>
    <row r="691" spans="1:39">
      <c r="A691" s="146">
        <v>46210.556631944448</v>
      </c>
      <c r="B691" s="146">
        <v>46210</v>
      </c>
      <c r="C691">
        <v>2228947</v>
      </c>
      <c r="D691" t="s">
        <v>416</v>
      </c>
      <c r="E691" t="s">
        <v>659</v>
      </c>
      <c r="F691" t="s">
        <v>650</v>
      </c>
      <c r="G691" t="s">
        <v>660</v>
      </c>
      <c r="H691" t="s">
        <v>641</v>
      </c>
      <c r="I691" t="s">
        <v>1344</v>
      </c>
      <c r="J691">
        <v>3260</v>
      </c>
      <c r="K691" s="141">
        <v>113.774</v>
      </c>
      <c r="O691" t="s">
        <v>1339</v>
      </c>
      <c r="P691">
        <v>0</v>
      </c>
      <c r="Q691" t="s">
        <v>1339</v>
      </c>
      <c r="U691">
        <v>42</v>
      </c>
      <c r="W691" t="s">
        <v>958</v>
      </c>
      <c r="X691" t="s">
        <v>883</v>
      </c>
      <c r="Y691" t="s">
        <v>1342</v>
      </c>
      <c r="AA691" t="s">
        <v>419</v>
      </c>
      <c r="AB691">
        <v>0</v>
      </c>
      <c r="AK691" t="s">
        <v>642</v>
      </c>
      <c r="AL691" t="s">
        <v>290</v>
      </c>
    </row>
    <row r="692" spans="1:39">
      <c r="A692" s="146">
        <v>46210.55741898148</v>
      </c>
      <c r="B692" s="146">
        <v>46210</v>
      </c>
      <c r="C692">
        <v>2228947</v>
      </c>
      <c r="D692" t="s">
        <v>416</v>
      </c>
      <c r="E692" t="s">
        <v>659</v>
      </c>
      <c r="F692" t="s">
        <v>650</v>
      </c>
      <c r="G692" t="s">
        <v>1311</v>
      </c>
      <c r="H692" t="s">
        <v>641</v>
      </c>
      <c r="I692" t="s">
        <v>1345</v>
      </c>
      <c r="J692">
        <v>6420</v>
      </c>
      <c r="K692" s="141">
        <v>55.853999999999999</v>
      </c>
      <c r="O692" t="s">
        <v>848</v>
      </c>
      <c r="P692">
        <v>0</v>
      </c>
      <c r="Q692" t="s">
        <v>848</v>
      </c>
      <c r="U692">
        <v>70</v>
      </c>
      <c r="W692" t="s">
        <v>958</v>
      </c>
      <c r="X692" t="s">
        <v>883</v>
      </c>
      <c r="Y692" t="s">
        <v>1343</v>
      </c>
      <c r="AA692" t="s">
        <v>419</v>
      </c>
      <c r="AB692">
        <v>0</v>
      </c>
      <c r="AK692" t="s">
        <v>642</v>
      </c>
      <c r="AL692" t="s">
        <v>290</v>
      </c>
    </row>
    <row r="693" spans="1:39">
      <c r="A693" s="146">
        <v>46210.55741898148</v>
      </c>
      <c r="B693" s="146">
        <v>46210</v>
      </c>
      <c r="C693">
        <v>2325310</v>
      </c>
      <c r="D693" t="s">
        <v>413</v>
      </c>
      <c r="E693" t="s">
        <v>659</v>
      </c>
      <c r="F693" t="s">
        <v>650</v>
      </c>
      <c r="G693" t="s">
        <v>229</v>
      </c>
      <c r="H693" t="s">
        <v>641</v>
      </c>
      <c r="I693" t="s">
        <v>1348</v>
      </c>
      <c r="J693">
        <v>1020</v>
      </c>
      <c r="K693" s="141">
        <v>72.929999999999993</v>
      </c>
      <c r="O693" t="s">
        <v>1339</v>
      </c>
      <c r="P693">
        <v>0</v>
      </c>
      <c r="Q693" t="s">
        <v>1339</v>
      </c>
      <c r="U693">
        <v>17</v>
      </c>
      <c r="W693" t="s">
        <v>958</v>
      </c>
      <c r="X693" t="s">
        <v>883</v>
      </c>
      <c r="Y693" t="s">
        <v>1347</v>
      </c>
      <c r="AA693" t="s">
        <v>419</v>
      </c>
      <c r="AB693">
        <v>0</v>
      </c>
      <c r="AK693" t="s">
        <v>642</v>
      </c>
      <c r="AL693" t="s">
        <v>290</v>
      </c>
    </row>
    <row r="694" spans="1:39">
      <c r="A694" s="146">
        <v>46210.55741898148</v>
      </c>
      <c r="B694" s="146">
        <v>46210</v>
      </c>
      <c r="C694">
        <v>2243991</v>
      </c>
      <c r="D694" t="s">
        <v>410</v>
      </c>
      <c r="E694" t="s">
        <v>643</v>
      </c>
      <c r="F694" t="s">
        <v>650</v>
      </c>
      <c r="G694" t="s">
        <v>702</v>
      </c>
      <c r="H694" t="s">
        <v>641</v>
      </c>
      <c r="I694" t="s">
        <v>1351</v>
      </c>
      <c r="J694">
        <v>2400</v>
      </c>
      <c r="K694" s="141">
        <v>28.02</v>
      </c>
      <c r="O694" t="s">
        <v>925</v>
      </c>
      <c r="P694">
        <v>0</v>
      </c>
      <c r="Q694" t="s">
        <v>925</v>
      </c>
      <c r="R694" t="s">
        <v>1318</v>
      </c>
      <c r="U694">
        <v>60</v>
      </c>
      <c r="W694" t="s">
        <v>958</v>
      </c>
      <c r="X694" t="s">
        <v>883</v>
      </c>
      <c r="Y694" t="s">
        <v>1161</v>
      </c>
      <c r="AA694" t="s">
        <v>647</v>
      </c>
      <c r="AB694">
        <v>0</v>
      </c>
      <c r="AK694" t="s">
        <v>642</v>
      </c>
      <c r="AL694" t="s">
        <v>290</v>
      </c>
    </row>
    <row r="695" spans="1:39">
      <c r="A695" s="146">
        <v>46210.790312500001</v>
      </c>
      <c r="B695" s="146">
        <v>46210</v>
      </c>
      <c r="C695">
        <v>2325374</v>
      </c>
      <c r="D695" t="s">
        <v>415</v>
      </c>
      <c r="E695" t="s">
        <v>643</v>
      </c>
      <c r="F695" t="s">
        <v>650</v>
      </c>
      <c r="G695" t="s">
        <v>233</v>
      </c>
      <c r="H695" t="s">
        <v>641</v>
      </c>
      <c r="I695" t="s">
        <v>1355</v>
      </c>
      <c r="J695">
        <v>615</v>
      </c>
      <c r="K695" s="141">
        <v>31.734000000000002</v>
      </c>
      <c r="O695" t="s">
        <v>1352</v>
      </c>
      <c r="P695">
        <v>0</v>
      </c>
      <c r="Q695" t="s">
        <v>1352</v>
      </c>
      <c r="R695" t="s">
        <v>1353</v>
      </c>
      <c r="U695">
        <v>21</v>
      </c>
      <c r="W695" t="s">
        <v>958</v>
      </c>
      <c r="X695" t="s">
        <v>883</v>
      </c>
      <c r="Y695" t="s">
        <v>1354</v>
      </c>
      <c r="AA695" t="s">
        <v>419</v>
      </c>
      <c r="AB695">
        <v>0</v>
      </c>
      <c r="AK695" t="s">
        <v>642</v>
      </c>
      <c r="AL695" t="s">
        <v>290</v>
      </c>
    </row>
    <row r="696" spans="1:39">
      <c r="A696" s="146">
        <v>46210.876296296294</v>
      </c>
      <c r="B696" s="146">
        <v>46210</v>
      </c>
      <c r="C696">
        <v>2224358</v>
      </c>
      <c r="D696" t="s">
        <v>417</v>
      </c>
      <c r="E696" t="s">
        <v>643</v>
      </c>
      <c r="F696" t="s">
        <v>650</v>
      </c>
      <c r="G696" t="s">
        <v>223</v>
      </c>
      <c r="H696" t="s">
        <v>641</v>
      </c>
      <c r="I696" t="s">
        <v>1358</v>
      </c>
      <c r="J696">
        <v>2350</v>
      </c>
      <c r="K696" s="141">
        <v>82.015000000000001</v>
      </c>
      <c r="O696" t="s">
        <v>1352</v>
      </c>
      <c r="P696">
        <v>0</v>
      </c>
      <c r="Q696" t="s">
        <v>1352</v>
      </c>
      <c r="R696" t="s">
        <v>1356</v>
      </c>
      <c r="U696">
        <v>42</v>
      </c>
      <c r="W696" t="s">
        <v>958</v>
      </c>
      <c r="X696" t="s">
        <v>883</v>
      </c>
      <c r="Y696" t="s">
        <v>1357</v>
      </c>
      <c r="AA696" t="s">
        <v>419</v>
      </c>
      <c r="AB696">
        <v>0</v>
      </c>
      <c r="AK696" t="s">
        <v>642</v>
      </c>
      <c r="AL696" t="s">
        <v>290</v>
      </c>
    </row>
    <row r="697" spans="1:39">
      <c r="A697" s="146">
        <v>46210.879421296297</v>
      </c>
      <c r="B697" s="146">
        <v>46210</v>
      </c>
      <c r="C697">
        <v>2325374</v>
      </c>
      <c r="D697" t="s">
        <v>415</v>
      </c>
      <c r="E697" t="s">
        <v>643</v>
      </c>
      <c r="F697" t="s">
        <v>650</v>
      </c>
      <c r="G697" t="s">
        <v>248</v>
      </c>
      <c r="H697" t="s">
        <v>641</v>
      </c>
      <c r="I697" t="s">
        <v>1360</v>
      </c>
      <c r="J697">
        <v>615</v>
      </c>
      <c r="K697" s="141">
        <v>31.734000000000002</v>
      </c>
      <c r="O697" t="s">
        <v>1352</v>
      </c>
      <c r="P697">
        <v>0</v>
      </c>
      <c r="Q697" t="s">
        <v>1352</v>
      </c>
      <c r="R697" t="s">
        <v>1353</v>
      </c>
      <c r="U697">
        <v>21</v>
      </c>
      <c r="W697" t="s">
        <v>958</v>
      </c>
      <c r="X697" t="s">
        <v>883</v>
      </c>
      <c r="Y697" t="s">
        <v>1359</v>
      </c>
      <c r="AA697" t="s">
        <v>419</v>
      </c>
      <c r="AB697">
        <v>0</v>
      </c>
      <c r="AK697" t="s">
        <v>642</v>
      </c>
      <c r="AL697" t="s">
        <v>290</v>
      </c>
    </row>
    <row r="698" spans="1:39">
      <c r="A698" s="146">
        <v>46210.883090277777</v>
      </c>
      <c r="B698" s="146">
        <v>46210</v>
      </c>
      <c r="C698">
        <v>2020488</v>
      </c>
      <c r="D698" t="s">
        <v>383</v>
      </c>
      <c r="E698" t="s">
        <v>643</v>
      </c>
      <c r="F698" t="s">
        <v>650</v>
      </c>
      <c r="G698" t="s">
        <v>236</v>
      </c>
      <c r="H698" t="s">
        <v>641</v>
      </c>
      <c r="I698" t="s">
        <v>1362</v>
      </c>
      <c r="J698">
        <v>1020</v>
      </c>
      <c r="K698" s="141">
        <v>72.929999999999993</v>
      </c>
      <c r="O698" t="s">
        <v>1352</v>
      </c>
      <c r="P698">
        <v>0</v>
      </c>
      <c r="Q698" t="s">
        <v>1352</v>
      </c>
      <c r="U698">
        <v>17</v>
      </c>
      <c r="W698" t="s">
        <v>958</v>
      </c>
      <c r="X698" t="s">
        <v>883</v>
      </c>
      <c r="Y698" t="s">
        <v>1361</v>
      </c>
      <c r="AA698" t="s">
        <v>419</v>
      </c>
      <c r="AB698">
        <v>0</v>
      </c>
      <c r="AK698" t="s">
        <v>642</v>
      </c>
      <c r="AL698" t="s">
        <v>290</v>
      </c>
    </row>
    <row r="699" spans="1:39">
      <c r="A699" s="146">
        <v>46210.883090277777</v>
      </c>
      <c r="B699" s="146">
        <v>46210</v>
      </c>
      <c r="C699">
        <v>2222785</v>
      </c>
      <c r="D699" t="s">
        <v>399</v>
      </c>
      <c r="E699" t="s">
        <v>643</v>
      </c>
      <c r="F699" t="s">
        <v>650</v>
      </c>
      <c r="G699" t="s">
        <v>267</v>
      </c>
      <c r="H699" t="s">
        <v>641</v>
      </c>
      <c r="I699" t="s">
        <v>1363</v>
      </c>
      <c r="J699">
        <v>420</v>
      </c>
      <c r="K699" s="141">
        <v>58.548000000000002</v>
      </c>
      <c r="O699" t="s">
        <v>1315</v>
      </c>
      <c r="P699">
        <v>0</v>
      </c>
      <c r="Q699" t="s">
        <v>1315</v>
      </c>
      <c r="U699">
        <v>10</v>
      </c>
      <c r="W699" t="s">
        <v>958</v>
      </c>
      <c r="X699" t="s">
        <v>883</v>
      </c>
      <c r="Y699" t="s">
        <v>1316</v>
      </c>
      <c r="AA699" t="s">
        <v>419</v>
      </c>
      <c r="AB699">
        <v>0</v>
      </c>
      <c r="AK699" t="s">
        <v>642</v>
      </c>
      <c r="AL699" t="s">
        <v>290</v>
      </c>
    </row>
    <row r="700" spans="1:39">
      <c r="A700" s="146">
        <v>46210.883090277777</v>
      </c>
      <c r="B700" s="146">
        <v>46210</v>
      </c>
      <c r="C700">
        <v>2222785</v>
      </c>
      <c r="D700" t="s">
        <v>399</v>
      </c>
      <c r="E700" t="s">
        <v>643</v>
      </c>
      <c r="F700" t="s">
        <v>650</v>
      </c>
      <c r="G700" t="s">
        <v>266</v>
      </c>
      <c r="H700" t="s">
        <v>641</v>
      </c>
      <c r="I700" t="s">
        <v>1364</v>
      </c>
      <c r="J700">
        <v>420</v>
      </c>
      <c r="K700" s="141">
        <v>58.548000000000002</v>
      </c>
      <c r="O700" t="s">
        <v>1315</v>
      </c>
      <c r="P700">
        <v>0</v>
      </c>
      <c r="Q700" t="s">
        <v>1315</v>
      </c>
      <c r="U700">
        <v>10</v>
      </c>
      <c r="W700" t="s">
        <v>958</v>
      </c>
      <c r="X700" t="s">
        <v>883</v>
      </c>
      <c r="Y700" t="s">
        <v>1316</v>
      </c>
      <c r="AA700" t="s">
        <v>419</v>
      </c>
      <c r="AB700">
        <v>0</v>
      </c>
      <c r="AK700" t="s">
        <v>642</v>
      </c>
      <c r="AL700" t="s">
        <v>290</v>
      </c>
    </row>
    <row r="701" spans="1:39">
      <c r="A701" s="146">
        <v>46210.890104166669</v>
      </c>
      <c r="B701" s="146">
        <v>46210</v>
      </c>
      <c r="C701">
        <v>2222785</v>
      </c>
      <c r="D701" t="s">
        <v>399</v>
      </c>
      <c r="E701" t="s">
        <v>643</v>
      </c>
      <c r="F701" t="s">
        <v>650</v>
      </c>
      <c r="G701" t="s">
        <v>222</v>
      </c>
      <c r="H701" t="s">
        <v>641</v>
      </c>
      <c r="I701" t="s">
        <v>1366</v>
      </c>
      <c r="J701">
        <v>2210</v>
      </c>
      <c r="K701" s="141">
        <v>39.558999999999997</v>
      </c>
      <c r="N701">
        <v>39.558999999999997</v>
      </c>
      <c r="O701" t="s">
        <v>1352</v>
      </c>
      <c r="P701">
        <v>0</v>
      </c>
      <c r="Q701" t="s">
        <v>1352</v>
      </c>
      <c r="S701">
        <v>0</v>
      </c>
      <c r="T701">
        <v>0.7</v>
      </c>
      <c r="U701">
        <v>50</v>
      </c>
      <c r="V701">
        <v>1.0523809523809524</v>
      </c>
      <c r="W701" t="s">
        <v>958</v>
      </c>
      <c r="X701" t="s">
        <v>883</v>
      </c>
      <c r="Y701" t="s">
        <v>1365</v>
      </c>
      <c r="AA701" t="s">
        <v>419</v>
      </c>
      <c r="AB701">
        <v>0</v>
      </c>
      <c r="AG701">
        <v>1</v>
      </c>
      <c r="AH701">
        <v>2210</v>
      </c>
      <c r="AK701" t="s">
        <v>642</v>
      </c>
      <c r="AL701" t="s">
        <v>290</v>
      </c>
      <c r="AM701">
        <v>2</v>
      </c>
    </row>
    <row r="702" spans="1:39">
      <c r="A702" s="146">
        <v>46211.063321759262</v>
      </c>
      <c r="B702" s="146">
        <v>46210</v>
      </c>
      <c r="C702">
        <v>2020390</v>
      </c>
      <c r="D702" t="s">
        <v>382</v>
      </c>
      <c r="E702" t="s">
        <v>653</v>
      </c>
      <c r="F702" t="s">
        <v>650</v>
      </c>
      <c r="G702" t="s">
        <v>232</v>
      </c>
      <c r="H702" t="s">
        <v>641</v>
      </c>
      <c r="I702" t="s">
        <v>1369</v>
      </c>
      <c r="J702">
        <v>1860</v>
      </c>
      <c r="K702" s="141">
        <v>64.914000000000001</v>
      </c>
      <c r="O702" t="s">
        <v>1352</v>
      </c>
      <c r="P702">
        <v>0</v>
      </c>
      <c r="Q702" t="s">
        <v>1352</v>
      </c>
      <c r="R702" t="s">
        <v>1367</v>
      </c>
      <c r="U702">
        <v>30</v>
      </c>
      <c r="W702" t="s">
        <v>958</v>
      </c>
      <c r="X702" t="s">
        <v>883</v>
      </c>
      <c r="Y702" t="s">
        <v>1368</v>
      </c>
      <c r="AA702" t="s">
        <v>419</v>
      </c>
      <c r="AB702">
        <v>0</v>
      </c>
      <c r="AK702" t="s">
        <v>642</v>
      </c>
      <c r="AL702" t="s">
        <v>290</v>
      </c>
    </row>
    <row r="703" spans="1:39">
      <c r="A703" s="146">
        <v>46211.063321759262</v>
      </c>
      <c r="B703" s="146">
        <v>46210</v>
      </c>
      <c r="C703">
        <v>2020390</v>
      </c>
      <c r="D703" t="s">
        <v>382</v>
      </c>
      <c r="E703" t="s">
        <v>653</v>
      </c>
      <c r="F703" t="s">
        <v>650</v>
      </c>
      <c r="G703" t="s">
        <v>1370</v>
      </c>
      <c r="H703" t="s">
        <v>641</v>
      </c>
      <c r="I703" t="s">
        <v>1371</v>
      </c>
      <c r="J703">
        <v>420</v>
      </c>
      <c r="K703" s="141">
        <v>58.548000000000002</v>
      </c>
      <c r="O703" t="s">
        <v>1315</v>
      </c>
      <c r="P703">
        <v>0</v>
      </c>
      <c r="Q703" t="s">
        <v>1315</v>
      </c>
      <c r="U703">
        <v>10</v>
      </c>
      <c r="W703" t="s">
        <v>958</v>
      </c>
      <c r="X703" t="s">
        <v>883</v>
      </c>
      <c r="Y703" t="s">
        <v>1316</v>
      </c>
      <c r="AA703" t="s">
        <v>419</v>
      </c>
      <c r="AB703">
        <v>0</v>
      </c>
      <c r="AK703" t="s">
        <v>642</v>
      </c>
      <c r="AL703" t="s">
        <v>290</v>
      </c>
    </row>
    <row r="704" spans="1:39">
      <c r="A704" s="146">
        <v>46211.063321759262</v>
      </c>
      <c r="B704" s="146">
        <v>46210</v>
      </c>
      <c r="C704">
        <v>2020390</v>
      </c>
      <c r="D704" t="s">
        <v>382</v>
      </c>
      <c r="E704" t="s">
        <v>653</v>
      </c>
      <c r="F704" t="s">
        <v>650</v>
      </c>
      <c r="G704" t="s">
        <v>253</v>
      </c>
      <c r="H704" t="s">
        <v>641</v>
      </c>
      <c r="I704" t="s">
        <v>1372</v>
      </c>
      <c r="J704">
        <v>1860</v>
      </c>
      <c r="K704" s="141">
        <v>64.914000000000001</v>
      </c>
      <c r="O704" t="s">
        <v>1352</v>
      </c>
      <c r="P704">
        <v>0</v>
      </c>
      <c r="Q704" t="s">
        <v>1352</v>
      </c>
      <c r="R704" t="s">
        <v>1367</v>
      </c>
      <c r="U704">
        <v>30</v>
      </c>
      <c r="W704" t="s">
        <v>958</v>
      </c>
      <c r="X704" t="s">
        <v>883</v>
      </c>
      <c r="Y704" t="s">
        <v>1368</v>
      </c>
      <c r="AA704" t="s">
        <v>419</v>
      </c>
      <c r="AB704">
        <v>0</v>
      </c>
      <c r="AK704" t="s">
        <v>642</v>
      </c>
      <c r="AL704" t="s">
        <v>290</v>
      </c>
    </row>
    <row r="705" spans="1:39">
      <c r="A705" s="146">
        <v>46211.201006944444</v>
      </c>
      <c r="B705" s="146">
        <v>46210</v>
      </c>
      <c r="C705">
        <v>2224288</v>
      </c>
      <c r="D705" t="s">
        <v>401</v>
      </c>
      <c r="E705" t="s">
        <v>653</v>
      </c>
      <c r="F705" t="s">
        <v>650</v>
      </c>
      <c r="G705" t="s">
        <v>236</v>
      </c>
      <c r="H705" t="s">
        <v>641</v>
      </c>
      <c r="I705" t="s">
        <v>97</v>
      </c>
      <c r="J705">
        <v>600</v>
      </c>
      <c r="K705" s="141">
        <v>42.9</v>
      </c>
      <c r="O705" t="s">
        <v>1352</v>
      </c>
      <c r="P705">
        <v>0</v>
      </c>
      <c r="Q705" t="s">
        <v>1352</v>
      </c>
      <c r="U705">
        <v>17</v>
      </c>
      <c r="W705" t="s">
        <v>958</v>
      </c>
      <c r="X705" t="s">
        <v>883</v>
      </c>
      <c r="Y705" t="s">
        <v>1373</v>
      </c>
      <c r="AA705" t="s">
        <v>419</v>
      </c>
      <c r="AB705">
        <v>0</v>
      </c>
      <c r="AK705" t="s">
        <v>642</v>
      </c>
      <c r="AL705" t="s">
        <v>290</v>
      </c>
    </row>
    <row r="706" spans="1:39">
      <c r="A706" s="146">
        <v>46211.201006944444</v>
      </c>
      <c r="B706" s="146">
        <v>46210</v>
      </c>
      <c r="C706">
        <v>2226596</v>
      </c>
      <c r="D706" t="s">
        <v>403</v>
      </c>
      <c r="E706" t="s">
        <v>653</v>
      </c>
      <c r="F706" t="s">
        <v>650</v>
      </c>
      <c r="G706" t="s">
        <v>242</v>
      </c>
      <c r="H706" t="s">
        <v>641</v>
      </c>
      <c r="I706" t="s">
        <v>1374</v>
      </c>
      <c r="J706">
        <v>2500</v>
      </c>
      <c r="K706" s="141">
        <v>35.229999999999997</v>
      </c>
      <c r="O706" t="s">
        <v>1352</v>
      </c>
      <c r="P706">
        <v>0</v>
      </c>
      <c r="Q706" t="s">
        <v>1352</v>
      </c>
      <c r="U706">
        <v>60</v>
      </c>
      <c r="W706" t="s">
        <v>958</v>
      </c>
      <c r="X706" t="s">
        <v>883</v>
      </c>
      <c r="Y706" t="s">
        <v>1373</v>
      </c>
      <c r="AA706" t="s">
        <v>419</v>
      </c>
      <c r="AB706">
        <v>0</v>
      </c>
      <c r="AK706" t="s">
        <v>642</v>
      </c>
      <c r="AL706" t="s">
        <v>290</v>
      </c>
    </row>
    <row r="707" spans="1:39">
      <c r="A707" s="146">
        <v>46211.222326388888</v>
      </c>
      <c r="B707" s="146">
        <v>46210</v>
      </c>
      <c r="C707">
        <v>2222332</v>
      </c>
      <c r="D707" t="s">
        <v>406</v>
      </c>
      <c r="E707" t="s">
        <v>653</v>
      </c>
      <c r="F707" t="s">
        <v>650</v>
      </c>
      <c r="G707" t="s">
        <v>1375</v>
      </c>
      <c r="H707" t="s">
        <v>641</v>
      </c>
      <c r="I707" t="s">
        <v>1377</v>
      </c>
      <c r="J707">
        <v>510</v>
      </c>
      <c r="K707" s="141">
        <v>36.464999999999996</v>
      </c>
      <c r="O707" t="s">
        <v>1352</v>
      </c>
      <c r="P707">
        <v>0</v>
      </c>
      <c r="Q707" t="s">
        <v>1352</v>
      </c>
      <c r="U707">
        <v>17</v>
      </c>
      <c r="W707" t="s">
        <v>958</v>
      </c>
      <c r="X707" t="s">
        <v>883</v>
      </c>
      <c r="Y707" t="s">
        <v>1376</v>
      </c>
      <c r="AA707" t="s">
        <v>419</v>
      </c>
      <c r="AB707">
        <v>0</v>
      </c>
      <c r="AK707" t="s">
        <v>642</v>
      </c>
      <c r="AL707" t="s">
        <v>290</v>
      </c>
    </row>
    <row r="708" spans="1:39">
      <c r="A708" s="146">
        <v>46211.201006944444</v>
      </c>
      <c r="B708" s="146">
        <v>46210</v>
      </c>
      <c r="C708">
        <v>2021645</v>
      </c>
      <c r="D708" t="s">
        <v>629</v>
      </c>
      <c r="E708" t="s">
        <v>653</v>
      </c>
      <c r="F708" t="s">
        <v>650</v>
      </c>
      <c r="G708" t="s">
        <v>230</v>
      </c>
      <c r="H708" t="s">
        <v>641</v>
      </c>
      <c r="I708" t="s">
        <v>1378</v>
      </c>
      <c r="J708">
        <v>2500</v>
      </c>
      <c r="K708" s="141">
        <v>35.229999999999997</v>
      </c>
      <c r="O708" t="s">
        <v>1352</v>
      </c>
      <c r="P708">
        <v>0</v>
      </c>
      <c r="Q708" t="s">
        <v>1352</v>
      </c>
      <c r="U708">
        <v>60</v>
      </c>
      <c r="W708" t="s">
        <v>958</v>
      </c>
      <c r="X708" t="s">
        <v>883</v>
      </c>
      <c r="Y708" t="s">
        <v>1373</v>
      </c>
      <c r="AA708" t="s">
        <v>419</v>
      </c>
      <c r="AB708">
        <v>0</v>
      </c>
      <c r="AK708" t="s">
        <v>642</v>
      </c>
      <c r="AL708" t="s">
        <v>290</v>
      </c>
    </row>
    <row r="709" spans="1:39">
      <c r="A709" s="146">
        <v>46211.201006944444</v>
      </c>
      <c r="B709" s="146">
        <v>46210</v>
      </c>
      <c r="C709">
        <v>2021645</v>
      </c>
      <c r="D709" t="s">
        <v>629</v>
      </c>
      <c r="E709" t="s">
        <v>653</v>
      </c>
      <c r="F709" t="s">
        <v>650</v>
      </c>
      <c r="G709" t="s">
        <v>252</v>
      </c>
      <c r="H709" t="s">
        <v>641</v>
      </c>
      <c r="I709" t="s">
        <v>1379</v>
      </c>
      <c r="J709">
        <v>2500</v>
      </c>
      <c r="K709" s="141">
        <v>35.229999999999997</v>
      </c>
      <c r="O709" t="s">
        <v>1352</v>
      </c>
      <c r="P709">
        <v>0</v>
      </c>
      <c r="Q709" t="s">
        <v>1352</v>
      </c>
      <c r="U709">
        <v>60</v>
      </c>
      <c r="W709" t="s">
        <v>958</v>
      </c>
      <c r="X709" t="s">
        <v>883</v>
      </c>
      <c r="Y709" t="s">
        <v>1373</v>
      </c>
      <c r="AA709" t="s">
        <v>419</v>
      </c>
      <c r="AB709">
        <v>0</v>
      </c>
      <c r="AK709" t="s">
        <v>642</v>
      </c>
      <c r="AL709" t="s">
        <v>290</v>
      </c>
    </row>
    <row r="710" spans="1:39">
      <c r="A710" s="146">
        <v>46211.358611111114</v>
      </c>
      <c r="B710" s="146">
        <v>46211</v>
      </c>
      <c r="C710">
        <v>2325310</v>
      </c>
      <c r="D710" t="s">
        <v>413</v>
      </c>
      <c r="E710" t="s">
        <v>659</v>
      </c>
      <c r="F710" t="s">
        <v>650</v>
      </c>
      <c r="G710" t="s">
        <v>661</v>
      </c>
      <c r="H710" t="s">
        <v>641</v>
      </c>
      <c r="I710" t="s">
        <v>763</v>
      </c>
      <c r="J710">
        <v>700</v>
      </c>
      <c r="K710" s="141">
        <v>50.05</v>
      </c>
      <c r="O710" t="s">
        <v>1352</v>
      </c>
      <c r="P710">
        <v>0</v>
      </c>
      <c r="Q710" t="s">
        <v>1352</v>
      </c>
      <c r="U710">
        <v>17</v>
      </c>
      <c r="W710" t="s">
        <v>958</v>
      </c>
      <c r="X710" t="s">
        <v>883</v>
      </c>
      <c r="Y710" t="s">
        <v>1380</v>
      </c>
      <c r="AA710" t="s">
        <v>419</v>
      </c>
      <c r="AB710">
        <v>0</v>
      </c>
      <c r="AK710" t="s">
        <v>642</v>
      </c>
      <c r="AL710" t="s">
        <v>290</v>
      </c>
    </row>
    <row r="711" spans="1:39">
      <c r="A711" s="146">
        <v>46211.539629629631</v>
      </c>
      <c r="B711" s="146">
        <v>46211</v>
      </c>
      <c r="C711">
        <v>2228947</v>
      </c>
      <c r="D711" t="s">
        <v>416</v>
      </c>
      <c r="E711" t="s">
        <v>659</v>
      </c>
      <c r="F711" t="s">
        <v>650</v>
      </c>
      <c r="G711" t="s">
        <v>223</v>
      </c>
      <c r="H711" t="s">
        <v>641</v>
      </c>
      <c r="I711" t="s">
        <v>1382</v>
      </c>
      <c r="J711">
        <v>3260</v>
      </c>
      <c r="K711" s="141">
        <v>113.774</v>
      </c>
      <c r="O711" t="s">
        <v>1352</v>
      </c>
      <c r="P711">
        <v>0</v>
      </c>
      <c r="Q711" t="s">
        <v>1352</v>
      </c>
      <c r="U711">
        <v>42</v>
      </c>
      <c r="W711" t="s">
        <v>958</v>
      </c>
      <c r="X711" t="s">
        <v>883</v>
      </c>
      <c r="Y711" t="s">
        <v>1381</v>
      </c>
      <c r="AA711" t="s">
        <v>419</v>
      </c>
      <c r="AB711">
        <v>0</v>
      </c>
      <c r="AK711" t="s">
        <v>642</v>
      </c>
      <c r="AL711" t="s">
        <v>290</v>
      </c>
    </row>
    <row r="712" spans="1:39">
      <c r="A712" s="146">
        <v>46211.548761574071</v>
      </c>
      <c r="B712" s="146">
        <v>46211</v>
      </c>
      <c r="C712">
        <v>2325295</v>
      </c>
      <c r="D712" t="s">
        <v>411</v>
      </c>
      <c r="E712" t="s">
        <v>659</v>
      </c>
      <c r="F712" t="s">
        <v>650</v>
      </c>
      <c r="G712" t="s">
        <v>216</v>
      </c>
      <c r="H712" t="s">
        <v>641</v>
      </c>
      <c r="I712" t="s">
        <v>1384</v>
      </c>
      <c r="J712">
        <v>1230</v>
      </c>
      <c r="K712" s="141">
        <v>63.468000000000004</v>
      </c>
      <c r="O712" t="s">
        <v>1352</v>
      </c>
      <c r="P712">
        <v>0</v>
      </c>
      <c r="Q712" t="s">
        <v>1352</v>
      </c>
      <c r="U712">
        <v>27</v>
      </c>
      <c r="W712" t="s">
        <v>958</v>
      </c>
      <c r="X712" t="s">
        <v>883</v>
      </c>
      <c r="Y712" t="s">
        <v>1383</v>
      </c>
      <c r="AA712" t="s">
        <v>419</v>
      </c>
      <c r="AB712">
        <v>0</v>
      </c>
      <c r="AK712" t="s">
        <v>642</v>
      </c>
      <c r="AL712" t="s">
        <v>290</v>
      </c>
    </row>
    <row r="713" spans="1:39">
      <c r="A713" s="146">
        <v>46211.567037037035</v>
      </c>
      <c r="B713" s="146">
        <v>46211</v>
      </c>
      <c r="C713">
        <v>1921551</v>
      </c>
      <c r="D713" t="s">
        <v>380</v>
      </c>
      <c r="E713" t="s">
        <v>659</v>
      </c>
      <c r="F713" t="s">
        <v>650</v>
      </c>
      <c r="G713" t="s">
        <v>236</v>
      </c>
      <c r="H713" t="s">
        <v>641</v>
      </c>
      <c r="I713" t="s">
        <v>1386</v>
      </c>
      <c r="J713">
        <v>1020</v>
      </c>
      <c r="K713" s="141">
        <v>50</v>
      </c>
      <c r="N713">
        <v>0</v>
      </c>
      <c r="O713" t="s">
        <v>1352</v>
      </c>
      <c r="P713">
        <v>0</v>
      </c>
      <c r="Q713" t="s">
        <v>1352</v>
      </c>
      <c r="S713">
        <v>0</v>
      </c>
      <c r="T713">
        <v>2</v>
      </c>
      <c r="U713">
        <v>60</v>
      </c>
      <c r="V713">
        <v>0</v>
      </c>
      <c r="W713" t="s">
        <v>958</v>
      </c>
      <c r="X713" t="s">
        <v>883</v>
      </c>
      <c r="Y713" t="s">
        <v>1385</v>
      </c>
      <c r="AA713" t="s">
        <v>419</v>
      </c>
      <c r="AB713">
        <v>0</v>
      </c>
      <c r="AK713" t="s">
        <v>642</v>
      </c>
      <c r="AL713" t="s">
        <v>290</v>
      </c>
      <c r="AM713">
        <v>2</v>
      </c>
    </row>
    <row r="714" spans="1:39">
      <c r="A714" s="146">
        <v>46211.567037037035</v>
      </c>
      <c r="B714" s="146">
        <v>46211</v>
      </c>
      <c r="C714">
        <v>1921551</v>
      </c>
      <c r="D714" t="s">
        <v>380</v>
      </c>
      <c r="E714" t="s">
        <v>659</v>
      </c>
      <c r="F714" t="s">
        <v>650</v>
      </c>
      <c r="G714" t="s">
        <v>230</v>
      </c>
      <c r="H714" t="s">
        <v>641</v>
      </c>
      <c r="I714" t="s">
        <v>1387</v>
      </c>
      <c r="J714">
        <v>6420</v>
      </c>
      <c r="K714" s="141">
        <v>55.853999999999999</v>
      </c>
      <c r="O714" t="s">
        <v>1352</v>
      </c>
      <c r="P714">
        <v>0</v>
      </c>
      <c r="Q714" t="s">
        <v>1352</v>
      </c>
      <c r="U714">
        <v>60</v>
      </c>
      <c r="W714" t="s">
        <v>958</v>
      </c>
      <c r="X714" t="s">
        <v>883</v>
      </c>
      <c r="Y714" t="s">
        <v>1385</v>
      </c>
      <c r="AA714" t="s">
        <v>419</v>
      </c>
      <c r="AB714">
        <v>0</v>
      </c>
      <c r="AK714" t="s">
        <v>642</v>
      </c>
      <c r="AL714" t="s">
        <v>290</v>
      </c>
    </row>
    <row r="715" spans="1:39">
      <c r="A715" s="146">
        <v>46211.570949074077</v>
      </c>
      <c r="B715" s="146">
        <v>46211</v>
      </c>
      <c r="C715">
        <v>2221908</v>
      </c>
      <c r="D715" t="s">
        <v>398</v>
      </c>
      <c r="E715" t="s">
        <v>659</v>
      </c>
      <c r="F715" t="s">
        <v>650</v>
      </c>
      <c r="G715" t="s">
        <v>225</v>
      </c>
      <c r="H715" t="s">
        <v>641</v>
      </c>
      <c r="I715" t="s">
        <v>1389</v>
      </c>
      <c r="J715">
        <v>2790</v>
      </c>
      <c r="K715" s="141">
        <v>97.370999999999995</v>
      </c>
      <c r="O715" t="s">
        <v>1336</v>
      </c>
      <c r="P715">
        <v>2</v>
      </c>
      <c r="Q715" t="s">
        <v>1336</v>
      </c>
      <c r="U715">
        <v>30</v>
      </c>
      <c r="W715" t="s">
        <v>958</v>
      </c>
      <c r="X715" t="s">
        <v>883</v>
      </c>
      <c r="Y715" t="s">
        <v>1388</v>
      </c>
      <c r="AA715" t="s">
        <v>652</v>
      </c>
      <c r="AB715">
        <v>0</v>
      </c>
      <c r="AK715" t="s">
        <v>642</v>
      </c>
      <c r="AL715" t="s">
        <v>59</v>
      </c>
    </row>
    <row r="716" spans="1:39">
      <c r="A716" s="146">
        <v>46211.58090277778</v>
      </c>
      <c r="B716" s="146">
        <v>46211</v>
      </c>
      <c r="C716">
        <v>2228947</v>
      </c>
      <c r="D716" t="s">
        <v>416</v>
      </c>
      <c r="E716" t="s">
        <v>659</v>
      </c>
      <c r="F716" t="s">
        <v>650</v>
      </c>
      <c r="G716" t="s">
        <v>1390</v>
      </c>
      <c r="H716" t="s">
        <v>641</v>
      </c>
      <c r="I716" t="s">
        <v>1393</v>
      </c>
      <c r="J716">
        <v>3210</v>
      </c>
      <c r="K716" s="141">
        <v>27.927</v>
      </c>
      <c r="O716" t="s">
        <v>1391</v>
      </c>
      <c r="P716">
        <v>0</v>
      </c>
      <c r="Q716" t="s">
        <v>1391</v>
      </c>
      <c r="U716">
        <v>70</v>
      </c>
      <c r="W716" t="s">
        <v>958</v>
      </c>
      <c r="X716" t="s">
        <v>883</v>
      </c>
      <c r="Y716" t="s">
        <v>1392</v>
      </c>
      <c r="AA716" t="s">
        <v>647</v>
      </c>
      <c r="AB716">
        <v>0</v>
      </c>
      <c r="AK716" t="s">
        <v>642</v>
      </c>
      <c r="AL716" t="s">
        <v>290</v>
      </c>
    </row>
    <row r="717" spans="1:39">
      <c r="A717" s="146">
        <v>46211.58090277778</v>
      </c>
      <c r="B717" s="146">
        <v>46211</v>
      </c>
      <c r="C717">
        <v>2243991</v>
      </c>
      <c r="D717" t="s">
        <v>410</v>
      </c>
      <c r="E717" t="s">
        <v>643</v>
      </c>
      <c r="F717" t="s">
        <v>650</v>
      </c>
      <c r="G717" t="s">
        <v>225</v>
      </c>
      <c r="H717" t="s">
        <v>641</v>
      </c>
      <c r="I717" t="s">
        <v>1394</v>
      </c>
      <c r="J717">
        <v>930</v>
      </c>
      <c r="K717" s="141">
        <v>32</v>
      </c>
      <c r="O717" t="s">
        <v>1336</v>
      </c>
      <c r="P717">
        <v>2</v>
      </c>
      <c r="Q717" t="s">
        <v>1336</v>
      </c>
      <c r="U717">
        <v>30</v>
      </c>
      <c r="W717" t="s">
        <v>958</v>
      </c>
      <c r="X717" t="s">
        <v>883</v>
      </c>
      <c r="Y717" t="s">
        <v>1388</v>
      </c>
      <c r="AA717" t="s">
        <v>652</v>
      </c>
      <c r="AB717">
        <v>0</v>
      </c>
      <c r="AK717" t="s">
        <v>642</v>
      </c>
      <c r="AL717" t="s">
        <v>59</v>
      </c>
    </row>
    <row r="718" spans="1:39">
      <c r="A718" s="146">
        <v>46211.872789351852</v>
      </c>
      <c r="B718" s="146">
        <v>46211</v>
      </c>
      <c r="C718">
        <v>2325374</v>
      </c>
      <c r="D718" t="s">
        <v>415</v>
      </c>
      <c r="E718" t="s">
        <v>643</v>
      </c>
      <c r="F718" t="s">
        <v>650</v>
      </c>
      <c r="G718" t="s">
        <v>233</v>
      </c>
      <c r="H718" t="s">
        <v>641</v>
      </c>
      <c r="I718" t="s">
        <v>1397</v>
      </c>
      <c r="J718">
        <v>1230</v>
      </c>
      <c r="K718" s="141">
        <v>63.468000000000004</v>
      </c>
      <c r="O718" t="s">
        <v>1104</v>
      </c>
      <c r="P718">
        <v>0</v>
      </c>
      <c r="Q718" t="s">
        <v>1104</v>
      </c>
      <c r="R718" t="s">
        <v>1395</v>
      </c>
      <c r="U718">
        <v>21</v>
      </c>
      <c r="W718" t="s">
        <v>958</v>
      </c>
      <c r="X718" t="s">
        <v>883</v>
      </c>
      <c r="Y718" t="s">
        <v>1396</v>
      </c>
      <c r="AA718" t="s">
        <v>419</v>
      </c>
      <c r="AB718">
        <v>0</v>
      </c>
      <c r="AK718" t="s">
        <v>642</v>
      </c>
      <c r="AL718" t="s">
        <v>290</v>
      </c>
    </row>
    <row r="719" spans="1:39">
      <c r="A719" s="146">
        <v>46211.872789351852</v>
      </c>
      <c r="B719" s="146">
        <v>46211</v>
      </c>
      <c r="C719">
        <v>2325301</v>
      </c>
      <c r="D719" t="s">
        <v>412</v>
      </c>
      <c r="E719" t="s">
        <v>643</v>
      </c>
      <c r="F719" t="s">
        <v>650</v>
      </c>
      <c r="G719" t="s">
        <v>227</v>
      </c>
      <c r="H719" t="s">
        <v>641</v>
      </c>
      <c r="I719" t="s">
        <v>1398</v>
      </c>
      <c r="J719">
        <v>1510</v>
      </c>
      <c r="K719" s="141">
        <v>30</v>
      </c>
      <c r="O719" t="s">
        <v>662</v>
      </c>
      <c r="P719">
        <v>0</v>
      </c>
      <c r="Q719" t="s">
        <v>662</v>
      </c>
      <c r="U719">
        <v>48</v>
      </c>
      <c r="W719" t="s">
        <v>958</v>
      </c>
      <c r="X719" t="s">
        <v>883</v>
      </c>
      <c r="Y719" t="s">
        <v>1079</v>
      </c>
      <c r="AA719" t="s">
        <v>419</v>
      </c>
      <c r="AB719">
        <v>0</v>
      </c>
      <c r="AK719" t="s">
        <v>642</v>
      </c>
      <c r="AL719" t="s">
        <v>290</v>
      </c>
    </row>
    <row r="720" spans="1:39">
      <c r="A720" s="146">
        <v>46211.872789351852</v>
      </c>
      <c r="B720" s="146">
        <v>46211</v>
      </c>
      <c r="C720">
        <v>2224358</v>
      </c>
      <c r="D720" t="s">
        <v>417</v>
      </c>
      <c r="E720" t="s">
        <v>643</v>
      </c>
      <c r="F720" t="s">
        <v>650</v>
      </c>
      <c r="G720" t="s">
        <v>223</v>
      </c>
      <c r="H720" t="s">
        <v>641</v>
      </c>
      <c r="I720" t="s">
        <v>1399</v>
      </c>
      <c r="J720">
        <v>2790</v>
      </c>
      <c r="K720" s="141">
        <v>82.015000000000001</v>
      </c>
      <c r="O720" t="s">
        <v>1352</v>
      </c>
      <c r="P720">
        <v>0</v>
      </c>
      <c r="Q720" t="s">
        <v>1352</v>
      </c>
      <c r="R720" t="s">
        <v>1400</v>
      </c>
      <c r="U720">
        <v>42</v>
      </c>
      <c r="W720" t="s">
        <v>958</v>
      </c>
      <c r="X720" t="s">
        <v>883</v>
      </c>
      <c r="Y720" t="s">
        <v>1357</v>
      </c>
      <c r="AA720" t="s">
        <v>419</v>
      </c>
      <c r="AB720">
        <v>0</v>
      </c>
      <c r="AK720" t="s">
        <v>642</v>
      </c>
      <c r="AL720" t="s">
        <v>290</v>
      </c>
    </row>
    <row r="721" spans="1:39">
      <c r="A721" s="146">
        <v>46211.872789351852</v>
      </c>
      <c r="B721" s="146">
        <v>46211</v>
      </c>
      <c r="C721">
        <v>2222785</v>
      </c>
      <c r="D721" t="s">
        <v>399</v>
      </c>
      <c r="E721" t="s">
        <v>643</v>
      </c>
      <c r="F721" t="s">
        <v>650</v>
      </c>
      <c r="G721" t="s">
        <v>487</v>
      </c>
      <c r="H721" t="s">
        <v>641</v>
      </c>
      <c r="I721" t="s">
        <v>1401</v>
      </c>
      <c r="J721">
        <v>420</v>
      </c>
      <c r="K721" s="141">
        <v>58.548000000000002</v>
      </c>
      <c r="O721" t="s">
        <v>1315</v>
      </c>
      <c r="P721">
        <v>0</v>
      </c>
      <c r="Q721" t="s">
        <v>1315</v>
      </c>
      <c r="U721">
        <v>10</v>
      </c>
      <c r="W721" t="s">
        <v>958</v>
      </c>
      <c r="X721" t="s">
        <v>883</v>
      </c>
      <c r="Y721" t="s">
        <v>1316</v>
      </c>
      <c r="AA721" t="s">
        <v>419</v>
      </c>
      <c r="AB721">
        <v>0</v>
      </c>
      <c r="AK721" t="s">
        <v>642</v>
      </c>
      <c r="AL721" t="s">
        <v>290</v>
      </c>
    </row>
    <row r="722" spans="1:39">
      <c r="A722" s="146">
        <v>46211.872789351852</v>
      </c>
      <c r="B722" s="146">
        <v>46211</v>
      </c>
      <c r="C722">
        <v>2222785</v>
      </c>
      <c r="D722" t="s">
        <v>399</v>
      </c>
      <c r="E722" t="s">
        <v>643</v>
      </c>
      <c r="F722" t="s">
        <v>650</v>
      </c>
      <c r="G722" t="s">
        <v>240</v>
      </c>
      <c r="H722" t="s">
        <v>641</v>
      </c>
      <c r="I722" t="s">
        <v>1402</v>
      </c>
      <c r="J722">
        <v>420</v>
      </c>
      <c r="K722" s="141">
        <v>58.548000000000002</v>
      </c>
      <c r="O722" t="s">
        <v>1315</v>
      </c>
      <c r="P722">
        <v>0</v>
      </c>
      <c r="Q722" t="s">
        <v>1315</v>
      </c>
      <c r="U722">
        <v>10</v>
      </c>
      <c r="W722" t="s">
        <v>958</v>
      </c>
      <c r="X722" t="s">
        <v>883</v>
      </c>
      <c r="Y722" t="s">
        <v>1316</v>
      </c>
      <c r="AA722" t="s">
        <v>419</v>
      </c>
      <c r="AB722">
        <v>0</v>
      </c>
      <c r="AK722" t="s">
        <v>642</v>
      </c>
      <c r="AL722" t="s">
        <v>290</v>
      </c>
    </row>
    <row r="723" spans="1:39">
      <c r="A723" s="146">
        <v>46211.891030092593</v>
      </c>
      <c r="B723" s="146">
        <v>46211</v>
      </c>
      <c r="C723">
        <v>2222785</v>
      </c>
      <c r="D723" t="s">
        <v>399</v>
      </c>
      <c r="E723" t="s">
        <v>643</v>
      </c>
      <c r="F723" t="s">
        <v>650</v>
      </c>
      <c r="G723" t="s">
        <v>234</v>
      </c>
      <c r="H723" t="s">
        <v>641</v>
      </c>
      <c r="I723" t="s">
        <v>82</v>
      </c>
      <c r="J723">
        <v>1860</v>
      </c>
      <c r="K723" s="141">
        <v>64.914000000000001</v>
      </c>
      <c r="N723">
        <v>64.914000000000001</v>
      </c>
      <c r="O723" t="s">
        <v>1104</v>
      </c>
      <c r="P723">
        <v>0</v>
      </c>
      <c r="Q723" t="s">
        <v>1104</v>
      </c>
      <c r="S723">
        <v>0</v>
      </c>
      <c r="T723">
        <v>1</v>
      </c>
      <c r="U723">
        <v>30</v>
      </c>
      <c r="V723">
        <v>1.0333333333333334</v>
      </c>
      <c r="W723" t="s">
        <v>958</v>
      </c>
      <c r="X723" t="s">
        <v>883</v>
      </c>
      <c r="Y723" t="s">
        <v>1403</v>
      </c>
      <c r="AA723" t="s">
        <v>419</v>
      </c>
      <c r="AB723">
        <v>0</v>
      </c>
      <c r="AI723">
        <v>2</v>
      </c>
      <c r="AJ723">
        <v>1860</v>
      </c>
      <c r="AK723" t="s">
        <v>642</v>
      </c>
      <c r="AL723" t="s">
        <v>290</v>
      </c>
      <c r="AM723">
        <v>2</v>
      </c>
    </row>
    <row r="724" spans="1:39">
      <c r="A724" s="146">
        <v>46211.89434027778</v>
      </c>
      <c r="B724" s="146">
        <v>46211</v>
      </c>
      <c r="C724">
        <v>2220255</v>
      </c>
      <c r="D724" t="s">
        <v>396</v>
      </c>
      <c r="E724" t="s">
        <v>643</v>
      </c>
      <c r="F724" t="s">
        <v>650</v>
      </c>
      <c r="G724" t="s">
        <v>673</v>
      </c>
      <c r="H724" t="s">
        <v>641</v>
      </c>
      <c r="I724" t="s">
        <v>1405</v>
      </c>
      <c r="J724">
        <v>1510</v>
      </c>
      <c r="K724" s="141">
        <v>30.350999999999999</v>
      </c>
      <c r="O724" t="s">
        <v>1104</v>
      </c>
      <c r="P724">
        <v>0</v>
      </c>
      <c r="Q724" t="s">
        <v>1104</v>
      </c>
      <c r="U724">
        <v>40</v>
      </c>
      <c r="W724" t="s">
        <v>958</v>
      </c>
      <c r="X724" t="s">
        <v>883</v>
      </c>
      <c r="Y724" t="s">
        <v>1404</v>
      </c>
      <c r="AA724" t="s">
        <v>419</v>
      </c>
      <c r="AB724">
        <v>0</v>
      </c>
      <c r="AK724" t="s">
        <v>642</v>
      </c>
      <c r="AL724" t="s">
        <v>290</v>
      </c>
    </row>
    <row r="725" spans="1:39">
      <c r="A725" s="146">
        <v>46211.89434027778</v>
      </c>
      <c r="B725" s="146">
        <v>46211</v>
      </c>
      <c r="C725">
        <v>2220255</v>
      </c>
      <c r="D725" t="s">
        <v>396</v>
      </c>
      <c r="E725" t="s">
        <v>643</v>
      </c>
      <c r="F725" t="s">
        <v>650</v>
      </c>
      <c r="G725" t="s">
        <v>673</v>
      </c>
      <c r="H725" t="s">
        <v>641</v>
      </c>
      <c r="I725" t="s">
        <v>1406</v>
      </c>
      <c r="J725">
        <v>1510</v>
      </c>
      <c r="K725" s="141">
        <v>30.350999999999999</v>
      </c>
      <c r="O725" t="s">
        <v>1104</v>
      </c>
      <c r="P725">
        <v>0</v>
      </c>
      <c r="Q725" t="s">
        <v>1104</v>
      </c>
      <c r="U725">
        <v>40</v>
      </c>
      <c r="W725" t="s">
        <v>958</v>
      </c>
      <c r="X725" t="s">
        <v>883</v>
      </c>
      <c r="Y725" t="s">
        <v>1404</v>
      </c>
      <c r="AA725" t="s">
        <v>419</v>
      </c>
      <c r="AB725">
        <v>0</v>
      </c>
      <c r="AK725" t="s">
        <v>642</v>
      </c>
      <c r="AL725" t="s">
        <v>290</v>
      </c>
    </row>
    <row r="726" spans="1:39">
      <c r="A726" s="146">
        <v>46211.89434027778</v>
      </c>
      <c r="B726" s="146">
        <v>46211</v>
      </c>
      <c r="C726">
        <v>2220255</v>
      </c>
      <c r="D726" t="s">
        <v>396</v>
      </c>
      <c r="E726" t="s">
        <v>643</v>
      </c>
      <c r="F726" t="s">
        <v>650</v>
      </c>
      <c r="G726" t="s">
        <v>673</v>
      </c>
      <c r="H726" t="s">
        <v>641</v>
      </c>
      <c r="I726" t="s">
        <v>1407</v>
      </c>
      <c r="J726">
        <v>1510</v>
      </c>
      <c r="K726" s="141">
        <v>30.350999999999999</v>
      </c>
      <c r="O726" t="s">
        <v>1104</v>
      </c>
      <c r="P726">
        <v>0</v>
      </c>
      <c r="Q726" t="s">
        <v>1104</v>
      </c>
      <c r="U726">
        <v>40</v>
      </c>
      <c r="W726" t="s">
        <v>958</v>
      </c>
      <c r="X726" t="s">
        <v>883</v>
      </c>
      <c r="Y726" t="s">
        <v>1404</v>
      </c>
      <c r="AA726" t="s">
        <v>419</v>
      </c>
      <c r="AB726">
        <v>0</v>
      </c>
      <c r="AK726" t="s">
        <v>642</v>
      </c>
      <c r="AL726" t="s">
        <v>290</v>
      </c>
    </row>
    <row r="727" spans="1:39">
      <c r="A727" s="146">
        <v>46211.90053240741</v>
      </c>
      <c r="B727" s="146">
        <v>46211</v>
      </c>
      <c r="C727">
        <v>2325374</v>
      </c>
      <c r="D727" t="s">
        <v>415</v>
      </c>
      <c r="E727" t="s">
        <v>643</v>
      </c>
      <c r="F727" t="s">
        <v>650</v>
      </c>
      <c r="G727" t="s">
        <v>227</v>
      </c>
      <c r="H727" t="s">
        <v>641</v>
      </c>
      <c r="I727" t="s">
        <v>96</v>
      </c>
      <c r="J727">
        <v>3020</v>
      </c>
      <c r="K727" s="141">
        <v>54.058</v>
      </c>
      <c r="O727" t="s">
        <v>952</v>
      </c>
      <c r="P727">
        <v>0</v>
      </c>
      <c r="Q727" t="s">
        <v>952</v>
      </c>
      <c r="R727" t="s">
        <v>1408</v>
      </c>
      <c r="U727">
        <v>50</v>
      </c>
      <c r="W727" t="s">
        <v>958</v>
      </c>
      <c r="X727" t="s">
        <v>883</v>
      </c>
      <c r="Y727" t="s">
        <v>1409</v>
      </c>
      <c r="AA727" t="s">
        <v>647</v>
      </c>
      <c r="AB727">
        <v>0</v>
      </c>
      <c r="AK727" t="s">
        <v>642</v>
      </c>
      <c r="AL727" t="s">
        <v>290</v>
      </c>
    </row>
    <row r="728" spans="1:39">
      <c r="A728" s="146">
        <v>46211.90053240741</v>
      </c>
      <c r="B728" s="146">
        <v>46211</v>
      </c>
      <c r="C728">
        <v>2020390</v>
      </c>
      <c r="D728" t="s">
        <v>382</v>
      </c>
      <c r="E728" t="s">
        <v>653</v>
      </c>
      <c r="F728" t="s">
        <v>650</v>
      </c>
      <c r="G728" t="s">
        <v>240</v>
      </c>
      <c r="H728" t="s">
        <v>641</v>
      </c>
      <c r="I728" t="s">
        <v>1410</v>
      </c>
      <c r="J728">
        <v>880</v>
      </c>
      <c r="K728" s="141">
        <v>107</v>
      </c>
      <c r="O728" t="s">
        <v>1315</v>
      </c>
      <c r="P728">
        <v>0</v>
      </c>
      <c r="Q728" t="s">
        <v>1315</v>
      </c>
      <c r="U728">
        <v>10</v>
      </c>
      <c r="W728" t="s">
        <v>958</v>
      </c>
      <c r="X728" t="s">
        <v>883</v>
      </c>
      <c r="Y728" t="s">
        <v>1316</v>
      </c>
      <c r="AA728" t="s">
        <v>419</v>
      </c>
      <c r="AB728">
        <v>0</v>
      </c>
      <c r="AK728" t="s">
        <v>642</v>
      </c>
      <c r="AL728" t="s">
        <v>290</v>
      </c>
    </row>
    <row r="729" spans="1:39">
      <c r="A729" s="146">
        <v>46212.173090277778</v>
      </c>
      <c r="B729" s="146">
        <v>46211</v>
      </c>
      <c r="C729">
        <v>2222332</v>
      </c>
      <c r="D729" t="s">
        <v>406</v>
      </c>
      <c r="E729" t="s">
        <v>653</v>
      </c>
      <c r="F729" t="s">
        <v>650</v>
      </c>
      <c r="G729" t="s">
        <v>229</v>
      </c>
      <c r="H729" t="s">
        <v>641</v>
      </c>
      <c r="I729" t="s">
        <v>1412</v>
      </c>
      <c r="J729">
        <v>510</v>
      </c>
      <c r="K729" s="141">
        <v>36.464999999999996</v>
      </c>
      <c r="O729" t="s">
        <v>952</v>
      </c>
      <c r="P729">
        <v>0</v>
      </c>
      <c r="Q729" t="s">
        <v>952</v>
      </c>
      <c r="U729">
        <v>17</v>
      </c>
      <c r="W729" t="s">
        <v>958</v>
      </c>
      <c r="X729" t="s">
        <v>883</v>
      </c>
      <c r="Y729" t="s">
        <v>1411</v>
      </c>
      <c r="AA729" t="s">
        <v>647</v>
      </c>
      <c r="AB729">
        <v>0</v>
      </c>
      <c r="AK729" t="s">
        <v>642</v>
      </c>
      <c r="AL729" t="s">
        <v>290</v>
      </c>
    </row>
    <row r="730" spans="1:39">
      <c r="A730" s="146">
        <v>46212.173090277778</v>
      </c>
      <c r="B730" s="146">
        <v>46211</v>
      </c>
      <c r="C730">
        <v>2226596</v>
      </c>
      <c r="D730" t="s">
        <v>403</v>
      </c>
      <c r="E730" t="s">
        <v>653</v>
      </c>
      <c r="F730" t="s">
        <v>650</v>
      </c>
      <c r="G730" t="s">
        <v>225</v>
      </c>
      <c r="H730" t="s">
        <v>641</v>
      </c>
      <c r="I730" t="s">
        <v>1413</v>
      </c>
      <c r="J730">
        <v>1860</v>
      </c>
      <c r="K730" s="141">
        <v>63.15</v>
      </c>
      <c r="O730" t="s">
        <v>1336</v>
      </c>
      <c r="P730">
        <v>2</v>
      </c>
      <c r="Q730" t="s">
        <v>1336</v>
      </c>
      <c r="U730">
        <v>30</v>
      </c>
      <c r="W730" t="s">
        <v>958</v>
      </c>
      <c r="X730" t="s">
        <v>883</v>
      </c>
      <c r="Y730" t="s">
        <v>1411</v>
      </c>
      <c r="AA730" t="s">
        <v>647</v>
      </c>
      <c r="AB730">
        <v>0</v>
      </c>
      <c r="AK730" t="s">
        <v>642</v>
      </c>
      <c r="AL730" t="s">
        <v>290</v>
      </c>
    </row>
    <row r="731" spans="1:39">
      <c r="A731" s="146">
        <v>46212.173090277778</v>
      </c>
      <c r="B731" s="146">
        <v>46211</v>
      </c>
      <c r="C731">
        <v>2226596</v>
      </c>
      <c r="D731" t="s">
        <v>403</v>
      </c>
      <c r="E731" t="s">
        <v>653</v>
      </c>
      <c r="F731" t="s">
        <v>650</v>
      </c>
      <c r="G731" t="s">
        <v>233</v>
      </c>
      <c r="H731" t="s">
        <v>641</v>
      </c>
      <c r="I731" t="s">
        <v>1414</v>
      </c>
      <c r="J731">
        <v>1310</v>
      </c>
      <c r="K731" s="141">
        <v>64.66</v>
      </c>
      <c r="O731" t="s">
        <v>1104</v>
      </c>
      <c r="P731">
        <v>0</v>
      </c>
      <c r="Q731" t="s">
        <v>1104</v>
      </c>
      <c r="U731">
        <v>21</v>
      </c>
      <c r="W731" t="s">
        <v>958</v>
      </c>
      <c r="X731" t="s">
        <v>883</v>
      </c>
      <c r="Y731" t="s">
        <v>1411</v>
      </c>
      <c r="AA731" t="s">
        <v>647</v>
      </c>
      <c r="AB731">
        <v>0</v>
      </c>
      <c r="AK731" t="s">
        <v>642</v>
      </c>
      <c r="AL731" t="s">
        <v>290</v>
      </c>
    </row>
    <row r="732" spans="1:39">
      <c r="A732" s="146">
        <v>46211.90053240741</v>
      </c>
      <c r="B732" s="146">
        <v>46211</v>
      </c>
      <c r="C732">
        <v>2020390</v>
      </c>
      <c r="D732" t="s">
        <v>382</v>
      </c>
      <c r="E732" t="s">
        <v>653</v>
      </c>
      <c r="F732" t="s">
        <v>650</v>
      </c>
      <c r="G732" t="s">
        <v>234</v>
      </c>
      <c r="H732" t="s">
        <v>641</v>
      </c>
      <c r="I732" t="s">
        <v>1415</v>
      </c>
      <c r="J732">
        <v>1860</v>
      </c>
      <c r="K732" s="141">
        <v>64.914000000000001</v>
      </c>
      <c r="N732">
        <v>64.914000000000001</v>
      </c>
      <c r="O732" t="s">
        <v>1104</v>
      </c>
      <c r="P732">
        <v>0</v>
      </c>
      <c r="Q732" t="s">
        <v>1104</v>
      </c>
      <c r="S732">
        <v>0</v>
      </c>
      <c r="T732">
        <v>1</v>
      </c>
      <c r="U732">
        <v>30</v>
      </c>
      <c r="V732">
        <v>1.0333333333333334</v>
      </c>
      <c r="W732" t="s">
        <v>958</v>
      </c>
      <c r="X732" t="s">
        <v>883</v>
      </c>
      <c r="Y732" t="s">
        <v>1403</v>
      </c>
      <c r="AA732" t="s">
        <v>419</v>
      </c>
      <c r="AB732">
        <v>0</v>
      </c>
      <c r="AI732">
        <v>2</v>
      </c>
      <c r="AJ732">
        <v>1860</v>
      </c>
      <c r="AK732" t="s">
        <v>642</v>
      </c>
      <c r="AL732" t="s">
        <v>290</v>
      </c>
      <c r="AM732">
        <v>2</v>
      </c>
    </row>
    <row r="733" spans="1:39">
      <c r="A733" s="146">
        <v>46211.90053240741</v>
      </c>
      <c r="B733" s="146">
        <v>46211</v>
      </c>
      <c r="C733">
        <v>2021131</v>
      </c>
      <c r="D733" t="s">
        <v>387</v>
      </c>
      <c r="E733" t="s">
        <v>653</v>
      </c>
      <c r="F733" t="s">
        <v>650</v>
      </c>
      <c r="G733" t="s">
        <v>673</v>
      </c>
      <c r="H733" t="s">
        <v>641</v>
      </c>
      <c r="I733" t="s">
        <v>1416</v>
      </c>
      <c r="J733">
        <v>3020</v>
      </c>
      <c r="K733" s="141">
        <v>64.914000000000001</v>
      </c>
      <c r="N733">
        <v>64.914000000000001</v>
      </c>
      <c r="O733" t="s">
        <v>1104</v>
      </c>
      <c r="P733">
        <v>0</v>
      </c>
      <c r="Q733" t="s">
        <v>1104</v>
      </c>
      <c r="S733">
        <v>0</v>
      </c>
      <c r="T733">
        <v>1</v>
      </c>
      <c r="U733">
        <v>30</v>
      </c>
      <c r="V733">
        <v>1.0333333333333334</v>
      </c>
      <c r="W733" t="s">
        <v>958</v>
      </c>
      <c r="X733" t="s">
        <v>883</v>
      </c>
      <c r="Y733" t="s">
        <v>1403</v>
      </c>
      <c r="AA733" t="s">
        <v>419</v>
      </c>
      <c r="AB733">
        <v>0</v>
      </c>
      <c r="AI733">
        <v>2</v>
      </c>
      <c r="AJ733">
        <v>1860</v>
      </c>
      <c r="AK733" t="s">
        <v>642</v>
      </c>
      <c r="AL733" t="s">
        <v>290</v>
      </c>
      <c r="AM733">
        <v>2</v>
      </c>
    </row>
    <row r="734" spans="1:39">
      <c r="A734" s="146">
        <v>46211.90053240741</v>
      </c>
      <c r="B734" s="146">
        <v>46211</v>
      </c>
      <c r="C734">
        <v>2021131</v>
      </c>
      <c r="D734" t="s">
        <v>387</v>
      </c>
      <c r="E734" t="s">
        <v>653</v>
      </c>
      <c r="F734" t="s">
        <v>1417</v>
      </c>
      <c r="G734" t="s">
        <v>666</v>
      </c>
      <c r="H734" t="s">
        <v>641</v>
      </c>
      <c r="I734" t="s">
        <v>90</v>
      </c>
      <c r="J734">
        <v>1510</v>
      </c>
      <c r="K734" s="141">
        <v>64.914000000000001</v>
      </c>
      <c r="N734">
        <v>64.914000000000001</v>
      </c>
      <c r="O734" t="s">
        <v>1104</v>
      </c>
      <c r="P734">
        <v>0</v>
      </c>
      <c r="Q734" t="s">
        <v>1104</v>
      </c>
      <c r="S734">
        <v>0</v>
      </c>
      <c r="T734">
        <v>1</v>
      </c>
      <c r="U734">
        <v>30</v>
      </c>
      <c r="V734">
        <v>1.0333333333333334</v>
      </c>
      <c r="W734" t="s">
        <v>958</v>
      </c>
      <c r="X734" t="s">
        <v>883</v>
      </c>
      <c r="Y734" t="s">
        <v>1403</v>
      </c>
      <c r="AA734" t="s">
        <v>419</v>
      </c>
      <c r="AB734">
        <v>0</v>
      </c>
      <c r="AI734">
        <v>2</v>
      </c>
      <c r="AJ734">
        <v>1860</v>
      </c>
      <c r="AK734" t="s">
        <v>642</v>
      </c>
      <c r="AL734" t="s">
        <v>290</v>
      </c>
      <c r="AM734">
        <v>2</v>
      </c>
    </row>
    <row r="735" spans="1:39">
      <c r="A735" s="146">
        <v>46212.248773148145</v>
      </c>
      <c r="B735" s="146">
        <v>46211</v>
      </c>
      <c r="C735">
        <v>2021645</v>
      </c>
      <c r="D735" t="s">
        <v>629</v>
      </c>
      <c r="E735" t="s">
        <v>653</v>
      </c>
      <c r="F735" t="s">
        <v>650</v>
      </c>
      <c r="G735" t="s">
        <v>230</v>
      </c>
      <c r="H735" t="s">
        <v>641</v>
      </c>
      <c r="I735" t="s">
        <v>87</v>
      </c>
      <c r="J735">
        <v>3210</v>
      </c>
      <c r="K735" s="141">
        <v>27.927</v>
      </c>
      <c r="O735" t="s">
        <v>952</v>
      </c>
      <c r="P735">
        <v>0</v>
      </c>
      <c r="Q735" t="s">
        <v>952</v>
      </c>
      <c r="U735">
        <v>70</v>
      </c>
      <c r="W735" t="s">
        <v>958</v>
      </c>
      <c r="X735" t="s">
        <v>883</v>
      </c>
      <c r="Y735" t="s">
        <v>1418</v>
      </c>
      <c r="AA735" t="s">
        <v>647</v>
      </c>
      <c r="AB735">
        <v>0</v>
      </c>
      <c r="AK735" t="s">
        <v>642</v>
      </c>
      <c r="AL735" t="s">
        <v>290</v>
      </c>
    </row>
    <row r="736" spans="1:39">
      <c r="A736" s="146">
        <v>46212.485358796293</v>
      </c>
      <c r="B736" s="146">
        <v>46212</v>
      </c>
      <c r="C736">
        <v>1921551</v>
      </c>
      <c r="D736" t="s">
        <v>380</v>
      </c>
      <c r="E736" t="s">
        <v>659</v>
      </c>
      <c r="F736" t="s">
        <v>654</v>
      </c>
      <c r="G736" t="s">
        <v>236</v>
      </c>
      <c r="H736" t="s">
        <v>641</v>
      </c>
      <c r="I736" t="s">
        <v>1421</v>
      </c>
      <c r="J736">
        <v>1020</v>
      </c>
      <c r="K736" s="141">
        <v>70</v>
      </c>
      <c r="N736">
        <v>0</v>
      </c>
      <c r="O736" t="s">
        <v>952</v>
      </c>
      <c r="P736">
        <v>0</v>
      </c>
      <c r="Q736" t="s">
        <v>952</v>
      </c>
      <c r="S736">
        <v>0</v>
      </c>
      <c r="T736">
        <v>0.5</v>
      </c>
      <c r="U736">
        <v>17</v>
      </c>
      <c r="V736">
        <v>0</v>
      </c>
      <c r="W736" t="s">
        <v>958</v>
      </c>
      <c r="X736" t="s">
        <v>883</v>
      </c>
      <c r="Y736" t="s">
        <v>1419</v>
      </c>
      <c r="AA736" t="s">
        <v>647</v>
      </c>
      <c r="AB736">
        <v>0</v>
      </c>
      <c r="AK736" t="s">
        <v>642</v>
      </c>
      <c r="AL736" t="s">
        <v>290</v>
      </c>
      <c r="AM736">
        <v>2</v>
      </c>
    </row>
    <row r="737" spans="1:39">
      <c r="A737" s="146">
        <v>46212.485358796293</v>
      </c>
      <c r="B737" s="146">
        <v>46212</v>
      </c>
      <c r="C737">
        <v>1921551</v>
      </c>
      <c r="D737" t="s">
        <v>380</v>
      </c>
      <c r="E737" t="s">
        <v>659</v>
      </c>
      <c r="F737" t="s">
        <v>654</v>
      </c>
      <c r="G737" t="s">
        <v>242</v>
      </c>
      <c r="H737" t="s">
        <v>641</v>
      </c>
      <c r="I737" t="s">
        <v>1420</v>
      </c>
      <c r="J737">
        <v>1000</v>
      </c>
      <c r="K737" s="141">
        <v>8.6999999999999993</v>
      </c>
      <c r="O737" t="s">
        <v>952</v>
      </c>
      <c r="P737">
        <v>0</v>
      </c>
      <c r="Q737" t="s">
        <v>952</v>
      </c>
      <c r="U737">
        <v>60</v>
      </c>
      <c r="W737" t="s">
        <v>958</v>
      </c>
      <c r="X737" t="s">
        <v>883</v>
      </c>
      <c r="Y737" t="s">
        <v>1419</v>
      </c>
      <c r="AA737" t="s">
        <v>647</v>
      </c>
      <c r="AB737">
        <v>0</v>
      </c>
      <c r="AK737" t="s">
        <v>642</v>
      </c>
      <c r="AL737" t="s">
        <v>290</v>
      </c>
    </row>
    <row r="738" spans="1:39">
      <c r="A738" s="146">
        <v>46212.537800925929</v>
      </c>
      <c r="B738" s="146">
        <v>46212</v>
      </c>
      <c r="C738">
        <v>2221908</v>
      </c>
      <c r="D738" t="s">
        <v>398</v>
      </c>
      <c r="E738" t="s">
        <v>659</v>
      </c>
      <c r="F738" t="s">
        <v>650</v>
      </c>
      <c r="G738" t="s">
        <v>225</v>
      </c>
      <c r="H738" t="s">
        <v>641</v>
      </c>
      <c r="I738" t="s">
        <v>1425</v>
      </c>
      <c r="J738">
        <v>930</v>
      </c>
      <c r="K738" s="141">
        <v>32.457000000000001</v>
      </c>
      <c r="O738" t="s">
        <v>1336</v>
      </c>
      <c r="P738">
        <v>2</v>
      </c>
      <c r="Q738" t="s">
        <v>1336</v>
      </c>
      <c r="U738">
        <v>30</v>
      </c>
      <c r="W738" t="s">
        <v>958</v>
      </c>
      <c r="X738" t="s">
        <v>883</v>
      </c>
      <c r="Y738" t="s">
        <v>1422</v>
      </c>
      <c r="AA738" t="s">
        <v>652</v>
      </c>
      <c r="AB738">
        <v>0</v>
      </c>
      <c r="AK738" t="s">
        <v>642</v>
      </c>
      <c r="AL738" t="s">
        <v>59</v>
      </c>
    </row>
    <row r="739" spans="1:39">
      <c r="A739" s="146">
        <v>46212.538622685184</v>
      </c>
      <c r="B739" s="146">
        <v>46212</v>
      </c>
      <c r="C739">
        <v>2221908</v>
      </c>
      <c r="D739" t="s">
        <v>398</v>
      </c>
      <c r="E739" t="s">
        <v>659</v>
      </c>
      <c r="F739" t="s">
        <v>650</v>
      </c>
      <c r="G739" t="s">
        <v>233</v>
      </c>
      <c r="H739" t="s">
        <v>641</v>
      </c>
      <c r="I739" t="s">
        <v>1426</v>
      </c>
      <c r="J739">
        <v>615</v>
      </c>
      <c r="K739" s="141">
        <v>31.734000000000002</v>
      </c>
      <c r="O739" t="s">
        <v>1423</v>
      </c>
      <c r="P739">
        <v>0</v>
      </c>
      <c r="Q739" t="s">
        <v>1423</v>
      </c>
      <c r="U739">
        <v>21</v>
      </c>
      <c r="W739" t="s">
        <v>958</v>
      </c>
      <c r="X739" t="s">
        <v>883</v>
      </c>
      <c r="Y739" t="s">
        <v>1424</v>
      </c>
      <c r="AA739" t="s">
        <v>419</v>
      </c>
      <c r="AB739">
        <v>0</v>
      </c>
      <c r="AK739" t="s">
        <v>642</v>
      </c>
      <c r="AL739" t="s">
        <v>290</v>
      </c>
    </row>
    <row r="740" spans="1:39">
      <c r="A740" s="146">
        <v>46212.541076388887</v>
      </c>
      <c r="B740" s="146">
        <v>46212</v>
      </c>
      <c r="C740">
        <v>2022158</v>
      </c>
      <c r="D740" t="s">
        <v>394</v>
      </c>
      <c r="E740" t="s">
        <v>659</v>
      </c>
      <c r="F740" t="s">
        <v>650</v>
      </c>
      <c r="G740" t="s">
        <v>240</v>
      </c>
      <c r="H740" t="s">
        <v>641</v>
      </c>
      <c r="I740" t="s">
        <v>1432</v>
      </c>
      <c r="J740">
        <v>420</v>
      </c>
      <c r="K740" s="141">
        <v>58.548000000000002</v>
      </c>
      <c r="O740" t="s">
        <v>1423</v>
      </c>
      <c r="P740">
        <v>0</v>
      </c>
      <c r="Q740" t="s">
        <v>1423</v>
      </c>
      <c r="U740">
        <v>10</v>
      </c>
      <c r="W740" t="s">
        <v>958</v>
      </c>
      <c r="X740" t="s">
        <v>883</v>
      </c>
      <c r="Y740" t="s">
        <v>1427</v>
      </c>
      <c r="AA740" t="s">
        <v>419</v>
      </c>
      <c r="AB740">
        <v>0</v>
      </c>
      <c r="AK740" t="s">
        <v>642</v>
      </c>
      <c r="AL740" t="s">
        <v>290</v>
      </c>
    </row>
    <row r="741" spans="1:39">
      <c r="A741" s="146">
        <v>46212.541921296295</v>
      </c>
      <c r="B741" s="146">
        <v>46212</v>
      </c>
      <c r="C741">
        <v>2022158</v>
      </c>
      <c r="D741" t="s">
        <v>394</v>
      </c>
      <c r="E741" t="s">
        <v>659</v>
      </c>
      <c r="F741" t="s">
        <v>650</v>
      </c>
      <c r="G741" t="s">
        <v>222</v>
      </c>
      <c r="H741" t="s">
        <v>641</v>
      </c>
      <c r="I741" t="s">
        <v>1431</v>
      </c>
      <c r="J741">
        <v>6040</v>
      </c>
      <c r="K741" s="141">
        <v>108.116</v>
      </c>
      <c r="O741" t="s">
        <v>1423</v>
      </c>
      <c r="P741">
        <v>0</v>
      </c>
      <c r="Q741" t="s">
        <v>1423</v>
      </c>
      <c r="U741">
        <v>50</v>
      </c>
      <c r="W741" t="s">
        <v>958</v>
      </c>
      <c r="X741" t="s">
        <v>883</v>
      </c>
      <c r="Y741" t="s">
        <v>1428</v>
      </c>
      <c r="AA741" t="s">
        <v>419</v>
      </c>
      <c r="AB741">
        <v>0</v>
      </c>
      <c r="AK741" t="s">
        <v>642</v>
      </c>
      <c r="AL741" t="s">
        <v>290</v>
      </c>
    </row>
    <row r="742" spans="1:39">
      <c r="A742" s="146">
        <v>46212.54241898148</v>
      </c>
      <c r="B742" s="146">
        <v>46212</v>
      </c>
      <c r="C742">
        <v>2022158</v>
      </c>
      <c r="D742" t="s">
        <v>394</v>
      </c>
      <c r="E742" t="s">
        <v>659</v>
      </c>
      <c r="F742" t="s">
        <v>650</v>
      </c>
      <c r="G742" t="s">
        <v>234</v>
      </c>
      <c r="H742" t="s">
        <v>641</v>
      </c>
      <c r="I742" t="s">
        <v>1430</v>
      </c>
      <c r="J742">
        <v>1860</v>
      </c>
      <c r="K742" s="141">
        <v>64.914000000000001</v>
      </c>
      <c r="O742" t="s">
        <v>1423</v>
      </c>
      <c r="P742">
        <v>0</v>
      </c>
      <c r="Q742" t="s">
        <v>1423</v>
      </c>
      <c r="U742">
        <v>30</v>
      </c>
      <c r="W742" t="s">
        <v>958</v>
      </c>
      <c r="X742" t="s">
        <v>883</v>
      </c>
      <c r="Y742" t="s">
        <v>1429</v>
      </c>
      <c r="AA742" t="s">
        <v>419</v>
      </c>
      <c r="AB742">
        <v>0</v>
      </c>
      <c r="AK742" t="s">
        <v>642</v>
      </c>
      <c r="AL742" t="s">
        <v>290</v>
      </c>
    </row>
    <row r="743" spans="1:39">
      <c r="A743" s="146">
        <v>46212.564930555556</v>
      </c>
      <c r="B743" s="146">
        <v>46212</v>
      </c>
      <c r="C743">
        <v>2325295</v>
      </c>
      <c r="D743" t="s">
        <v>411</v>
      </c>
      <c r="E743" t="s">
        <v>659</v>
      </c>
      <c r="F743" t="s">
        <v>650</v>
      </c>
      <c r="G743" t="s">
        <v>1433</v>
      </c>
      <c r="H743" t="s">
        <v>641</v>
      </c>
      <c r="I743" t="s">
        <v>1435</v>
      </c>
      <c r="J743">
        <v>1845</v>
      </c>
      <c r="K743" s="141">
        <v>95.201999999999998</v>
      </c>
      <c r="O743" t="s">
        <v>1423</v>
      </c>
      <c r="P743">
        <v>0</v>
      </c>
      <c r="Q743" t="s">
        <v>1423</v>
      </c>
      <c r="U743">
        <v>27</v>
      </c>
      <c r="W743" t="s">
        <v>958</v>
      </c>
      <c r="X743" t="s">
        <v>883</v>
      </c>
      <c r="Y743" t="s">
        <v>1434</v>
      </c>
      <c r="AA743" t="s">
        <v>419</v>
      </c>
      <c r="AB743">
        <v>0</v>
      </c>
      <c r="AK743" t="s">
        <v>642</v>
      </c>
      <c r="AL743" t="s">
        <v>290</v>
      </c>
    </row>
    <row r="744" spans="1:39">
      <c r="A744" s="146">
        <v>46212.584814814814</v>
      </c>
      <c r="B744" s="146">
        <v>46212</v>
      </c>
      <c r="C744">
        <v>2228947</v>
      </c>
      <c r="D744" t="s">
        <v>416</v>
      </c>
      <c r="E744" t="s">
        <v>659</v>
      </c>
      <c r="F744" t="s">
        <v>650</v>
      </c>
      <c r="G744" t="s">
        <v>660</v>
      </c>
      <c r="H744" t="s">
        <v>641</v>
      </c>
      <c r="I744" t="s">
        <v>1437</v>
      </c>
      <c r="J744">
        <v>3210</v>
      </c>
      <c r="K744" s="141">
        <v>112.029</v>
      </c>
      <c r="O744" t="s">
        <v>1423</v>
      </c>
      <c r="P744">
        <v>0</v>
      </c>
      <c r="Q744" t="s">
        <v>1423</v>
      </c>
      <c r="U744">
        <v>42</v>
      </c>
      <c r="W744" t="s">
        <v>958</v>
      </c>
      <c r="X744" t="s">
        <v>883</v>
      </c>
      <c r="Y744" t="s">
        <v>1436</v>
      </c>
      <c r="AA744" t="s">
        <v>419</v>
      </c>
      <c r="AB744">
        <v>0</v>
      </c>
      <c r="AK744" t="s">
        <v>642</v>
      </c>
      <c r="AL744" t="s">
        <v>290</v>
      </c>
    </row>
    <row r="745" spans="1:39">
      <c r="A745" s="146">
        <v>46212.584814814814</v>
      </c>
      <c r="B745" s="146">
        <v>46212</v>
      </c>
      <c r="C745">
        <v>2224358</v>
      </c>
      <c r="D745" t="s">
        <v>417</v>
      </c>
      <c r="E745" t="s">
        <v>643</v>
      </c>
      <c r="F745" t="s">
        <v>650</v>
      </c>
      <c r="G745" t="s">
        <v>230</v>
      </c>
      <c r="H745" t="s">
        <v>641</v>
      </c>
      <c r="I745" t="s">
        <v>1438</v>
      </c>
      <c r="J745">
        <v>5100</v>
      </c>
      <c r="K745" s="141">
        <v>82.015000000000001</v>
      </c>
      <c r="O745" t="s">
        <v>1352</v>
      </c>
      <c r="P745">
        <v>0</v>
      </c>
      <c r="Q745" t="s">
        <v>952</v>
      </c>
      <c r="R745" t="s">
        <v>1439</v>
      </c>
      <c r="U745">
        <v>70</v>
      </c>
      <c r="W745" t="s">
        <v>958</v>
      </c>
      <c r="X745" t="s">
        <v>883</v>
      </c>
      <c r="Y745" t="s">
        <v>1357</v>
      </c>
      <c r="AA745" t="s">
        <v>419</v>
      </c>
      <c r="AB745">
        <v>0</v>
      </c>
      <c r="AK745" t="s">
        <v>642</v>
      </c>
      <c r="AL745" t="s">
        <v>290</v>
      </c>
    </row>
    <row r="746" spans="1:39">
      <c r="A746" s="146">
        <v>46212.865416666667</v>
      </c>
      <c r="B746" s="146">
        <v>46212</v>
      </c>
      <c r="C746">
        <v>2325374</v>
      </c>
      <c r="D746" t="s">
        <v>415</v>
      </c>
      <c r="E746" t="s">
        <v>643</v>
      </c>
      <c r="F746" t="s">
        <v>650</v>
      </c>
      <c r="G746" t="s">
        <v>675</v>
      </c>
      <c r="H746" t="s">
        <v>641</v>
      </c>
      <c r="I746" t="s">
        <v>1443</v>
      </c>
      <c r="J746">
        <v>1510</v>
      </c>
      <c r="K746" s="141">
        <v>27.029</v>
      </c>
      <c r="O746" t="s">
        <v>1440</v>
      </c>
      <c r="P746">
        <v>0</v>
      </c>
      <c r="Q746" t="s">
        <v>1440</v>
      </c>
      <c r="R746" t="s">
        <v>1441</v>
      </c>
      <c r="U746">
        <v>50</v>
      </c>
      <c r="W746" t="s">
        <v>958</v>
      </c>
      <c r="X746" t="s">
        <v>883</v>
      </c>
      <c r="Y746" t="s">
        <v>1442</v>
      </c>
      <c r="AA746" t="s">
        <v>647</v>
      </c>
      <c r="AB746">
        <v>0</v>
      </c>
      <c r="AK746" t="s">
        <v>642</v>
      </c>
      <c r="AL746" t="s">
        <v>290</v>
      </c>
    </row>
    <row r="747" spans="1:39">
      <c r="A747" s="146">
        <v>46212.888182870367</v>
      </c>
      <c r="B747" s="146">
        <v>46212</v>
      </c>
      <c r="C747">
        <v>2021742</v>
      </c>
      <c r="D747" t="s">
        <v>391</v>
      </c>
      <c r="E747" t="s">
        <v>643</v>
      </c>
      <c r="F747" t="s">
        <v>650</v>
      </c>
      <c r="G747" t="s">
        <v>233</v>
      </c>
      <c r="H747" t="s">
        <v>641</v>
      </c>
      <c r="I747" t="s">
        <v>1447</v>
      </c>
      <c r="J747">
        <v>1845</v>
      </c>
      <c r="K747" s="141">
        <v>95.201999999999998</v>
      </c>
      <c r="O747" t="s">
        <v>1440</v>
      </c>
      <c r="P747">
        <v>0</v>
      </c>
      <c r="Q747" t="s">
        <v>1440</v>
      </c>
      <c r="U747">
        <v>21</v>
      </c>
      <c r="W747" t="s">
        <v>958</v>
      </c>
      <c r="X747" t="s">
        <v>883</v>
      </c>
      <c r="Y747" t="s">
        <v>1444</v>
      </c>
      <c r="AA747" t="s">
        <v>647</v>
      </c>
      <c r="AB747">
        <v>0</v>
      </c>
      <c r="AK747" t="s">
        <v>642</v>
      </c>
      <c r="AL747" t="s">
        <v>290</v>
      </c>
    </row>
    <row r="748" spans="1:39">
      <c r="A748" s="146">
        <v>46212.889421296299</v>
      </c>
      <c r="B748" s="146">
        <v>46212</v>
      </c>
      <c r="C748">
        <v>2021742</v>
      </c>
      <c r="D748" t="s">
        <v>391</v>
      </c>
      <c r="E748" t="s">
        <v>643</v>
      </c>
      <c r="F748" t="s">
        <v>650</v>
      </c>
      <c r="G748" t="s">
        <v>225</v>
      </c>
      <c r="H748" t="s">
        <v>641</v>
      </c>
      <c r="I748" t="s">
        <v>1448</v>
      </c>
      <c r="J748">
        <v>2790</v>
      </c>
      <c r="K748" s="141">
        <v>97.370999999999995</v>
      </c>
      <c r="O748" t="s">
        <v>1445</v>
      </c>
      <c r="P748">
        <v>2</v>
      </c>
      <c r="Q748" t="s">
        <v>1445</v>
      </c>
      <c r="U748">
        <v>30</v>
      </c>
      <c r="W748" t="s">
        <v>958</v>
      </c>
      <c r="X748" t="s">
        <v>883</v>
      </c>
      <c r="Y748" t="s">
        <v>1446</v>
      </c>
      <c r="AA748" t="s">
        <v>652</v>
      </c>
      <c r="AB748">
        <v>0</v>
      </c>
      <c r="AK748" t="s">
        <v>642</v>
      </c>
      <c r="AL748" t="s">
        <v>59</v>
      </c>
    </row>
    <row r="749" spans="1:39">
      <c r="A749" s="146">
        <v>46212.901932870373</v>
      </c>
      <c r="B749" s="146">
        <v>46212</v>
      </c>
      <c r="C749">
        <v>2222785</v>
      </c>
      <c r="D749" t="s">
        <v>399</v>
      </c>
      <c r="E749" t="s">
        <v>643</v>
      </c>
      <c r="F749" t="s">
        <v>650</v>
      </c>
      <c r="G749" t="s">
        <v>234</v>
      </c>
      <c r="H749" t="s">
        <v>641</v>
      </c>
      <c r="I749" t="s">
        <v>82</v>
      </c>
      <c r="J749">
        <v>930</v>
      </c>
      <c r="K749" s="141">
        <v>32.457000000000001</v>
      </c>
      <c r="N749">
        <v>32.457000000000001</v>
      </c>
      <c r="O749" t="s">
        <v>1445</v>
      </c>
      <c r="P749">
        <v>2</v>
      </c>
      <c r="Q749" t="s">
        <v>1445</v>
      </c>
      <c r="S749">
        <v>0</v>
      </c>
      <c r="T749">
        <v>0.5</v>
      </c>
      <c r="U749">
        <v>30</v>
      </c>
      <c r="V749">
        <v>1.0333333333333334</v>
      </c>
      <c r="W749" t="s">
        <v>958</v>
      </c>
      <c r="X749" t="s">
        <v>883</v>
      </c>
      <c r="Y749" t="s">
        <v>1449</v>
      </c>
      <c r="AA749" t="s">
        <v>652</v>
      </c>
      <c r="AB749">
        <v>0</v>
      </c>
      <c r="AI749">
        <v>1</v>
      </c>
      <c r="AJ749">
        <v>930</v>
      </c>
      <c r="AK749" t="s">
        <v>642</v>
      </c>
      <c r="AL749" t="s">
        <v>290</v>
      </c>
      <c r="AM749">
        <v>2</v>
      </c>
    </row>
    <row r="750" spans="1:39">
      <c r="A750" s="146">
        <v>46212.902673611112</v>
      </c>
      <c r="B750" s="146">
        <v>46212</v>
      </c>
      <c r="C750">
        <v>2222785</v>
      </c>
      <c r="D750" t="s">
        <v>399</v>
      </c>
      <c r="E750" t="s">
        <v>643</v>
      </c>
      <c r="F750" t="s">
        <v>650</v>
      </c>
      <c r="G750" t="s">
        <v>240</v>
      </c>
      <c r="H750" t="s">
        <v>641</v>
      </c>
      <c r="I750" t="s">
        <v>99</v>
      </c>
      <c r="J750">
        <v>220</v>
      </c>
      <c r="K750" s="141">
        <v>30.667999999999999</v>
      </c>
      <c r="N750">
        <v>30.667999999999999</v>
      </c>
      <c r="O750" t="s">
        <v>1445</v>
      </c>
      <c r="P750">
        <v>2</v>
      </c>
      <c r="Q750" t="s">
        <v>1445</v>
      </c>
      <c r="S750">
        <v>0</v>
      </c>
      <c r="T750">
        <v>0.4</v>
      </c>
      <c r="U750">
        <v>10</v>
      </c>
      <c r="V750">
        <v>0.91666666666666663</v>
      </c>
      <c r="W750" t="s">
        <v>958</v>
      </c>
      <c r="X750" t="s">
        <v>883</v>
      </c>
      <c r="Y750" t="s">
        <v>1450</v>
      </c>
      <c r="AA750" t="s">
        <v>652</v>
      </c>
      <c r="AB750">
        <v>0</v>
      </c>
      <c r="AG750">
        <v>1</v>
      </c>
      <c r="AH750">
        <v>220</v>
      </c>
      <c r="AK750" t="s">
        <v>642</v>
      </c>
      <c r="AL750" t="s">
        <v>290</v>
      </c>
      <c r="AM750">
        <v>2</v>
      </c>
    </row>
    <row r="751" spans="1:39">
      <c r="A751" s="146">
        <v>46212.904652777775</v>
      </c>
      <c r="B751" s="146">
        <v>46212</v>
      </c>
      <c r="C751">
        <v>2243991</v>
      </c>
      <c r="D751" t="s">
        <v>410</v>
      </c>
      <c r="E751" t="s">
        <v>643</v>
      </c>
      <c r="F751" t="s">
        <v>650</v>
      </c>
      <c r="G751" t="s">
        <v>1451</v>
      </c>
      <c r="H751" t="s">
        <v>641</v>
      </c>
      <c r="I751" t="s">
        <v>86</v>
      </c>
      <c r="J751">
        <v>3210</v>
      </c>
      <c r="K751" s="141">
        <v>27.927</v>
      </c>
      <c r="O751" t="s">
        <v>1452</v>
      </c>
      <c r="P751">
        <v>0</v>
      </c>
      <c r="Q751" t="s">
        <v>1452</v>
      </c>
      <c r="U751">
        <v>60</v>
      </c>
      <c r="W751" t="s">
        <v>958</v>
      </c>
      <c r="X751" t="s">
        <v>883</v>
      </c>
      <c r="Y751" t="s">
        <v>1453</v>
      </c>
      <c r="AA751" t="s">
        <v>647</v>
      </c>
      <c r="AB751">
        <v>0</v>
      </c>
      <c r="AK751" t="s">
        <v>642</v>
      </c>
      <c r="AL751" t="s">
        <v>290</v>
      </c>
    </row>
    <row r="752" spans="1:39">
      <c r="A752" s="146">
        <v>46212.906782407408</v>
      </c>
      <c r="B752" s="146">
        <v>46212</v>
      </c>
      <c r="C752">
        <v>2220255</v>
      </c>
      <c r="D752" t="s">
        <v>396</v>
      </c>
      <c r="E752" t="s">
        <v>643</v>
      </c>
      <c r="F752" t="s">
        <v>650</v>
      </c>
      <c r="G752" t="s">
        <v>673</v>
      </c>
      <c r="H752" t="s">
        <v>641</v>
      </c>
      <c r="I752" t="s">
        <v>90</v>
      </c>
      <c r="J752">
        <v>1510</v>
      </c>
      <c r="K752" s="141">
        <v>30.350999999999999</v>
      </c>
      <c r="O752" t="s">
        <v>1452</v>
      </c>
      <c r="P752">
        <v>0</v>
      </c>
      <c r="Q752" t="s">
        <v>1452</v>
      </c>
      <c r="U752">
        <v>40</v>
      </c>
      <c r="W752" t="s">
        <v>958</v>
      </c>
      <c r="X752" t="s">
        <v>883</v>
      </c>
      <c r="Y752" t="s">
        <v>1454</v>
      </c>
      <c r="AA752" t="s">
        <v>647</v>
      </c>
      <c r="AB752">
        <v>0</v>
      </c>
      <c r="AK752" t="s">
        <v>642</v>
      </c>
      <c r="AL752" t="s">
        <v>290</v>
      </c>
    </row>
    <row r="753" spans="1:39">
      <c r="A753" s="146">
        <v>46212.907708333332</v>
      </c>
      <c r="B753" s="146">
        <v>46212</v>
      </c>
      <c r="C753">
        <v>2220255</v>
      </c>
      <c r="D753" t="s">
        <v>396</v>
      </c>
      <c r="E753" t="s">
        <v>643</v>
      </c>
      <c r="F753" t="s">
        <v>650</v>
      </c>
      <c r="G753" t="s">
        <v>673</v>
      </c>
      <c r="H753" t="s">
        <v>641</v>
      </c>
      <c r="I753" t="s">
        <v>90</v>
      </c>
      <c r="J753">
        <v>1510</v>
      </c>
      <c r="K753" s="141">
        <v>30.350999999999999</v>
      </c>
      <c r="O753" t="s">
        <v>1452</v>
      </c>
      <c r="P753">
        <v>0</v>
      </c>
      <c r="Q753" t="s">
        <v>1452</v>
      </c>
      <c r="U753">
        <v>40</v>
      </c>
      <c r="W753" t="s">
        <v>958</v>
      </c>
      <c r="X753" t="s">
        <v>883</v>
      </c>
      <c r="Y753" t="s">
        <v>1455</v>
      </c>
      <c r="AA753" t="s">
        <v>647</v>
      </c>
      <c r="AB753">
        <v>0</v>
      </c>
      <c r="AK753" t="s">
        <v>642</v>
      </c>
      <c r="AL753" t="s">
        <v>290</v>
      </c>
    </row>
    <row r="754" spans="1:39">
      <c r="A754" s="146">
        <v>46212.908333333333</v>
      </c>
      <c r="B754" s="146">
        <v>46212</v>
      </c>
      <c r="C754">
        <v>2220255</v>
      </c>
      <c r="D754" t="s">
        <v>396</v>
      </c>
      <c r="E754" t="s">
        <v>643</v>
      </c>
      <c r="F754" t="s">
        <v>650</v>
      </c>
      <c r="G754" t="s">
        <v>270</v>
      </c>
      <c r="H754" t="s">
        <v>641</v>
      </c>
      <c r="I754" t="s">
        <v>90</v>
      </c>
      <c r="J754">
        <v>1510</v>
      </c>
      <c r="K754" s="141">
        <v>68.100999999999999</v>
      </c>
      <c r="O754" t="s">
        <v>1452</v>
      </c>
      <c r="P754">
        <v>0</v>
      </c>
      <c r="Q754" t="s">
        <v>1452</v>
      </c>
      <c r="U754">
        <v>40</v>
      </c>
      <c r="W754" t="s">
        <v>958</v>
      </c>
      <c r="X754" t="s">
        <v>883</v>
      </c>
      <c r="Y754" t="s">
        <v>1456</v>
      </c>
      <c r="AA754" t="s">
        <v>647</v>
      </c>
      <c r="AB754">
        <v>0</v>
      </c>
      <c r="AK754" t="s">
        <v>642</v>
      </c>
      <c r="AL754" t="s">
        <v>290</v>
      </c>
    </row>
    <row r="755" spans="1:39">
      <c r="A755" s="146">
        <v>46212.909305555557</v>
      </c>
      <c r="B755" s="146">
        <v>46212</v>
      </c>
      <c r="C755">
        <v>2220255</v>
      </c>
      <c r="D755" t="s">
        <v>396</v>
      </c>
      <c r="E755" t="s">
        <v>643</v>
      </c>
      <c r="F755" t="s">
        <v>650</v>
      </c>
      <c r="G755" t="s">
        <v>270</v>
      </c>
      <c r="H755" t="s">
        <v>641</v>
      </c>
      <c r="I755" t="s">
        <v>93</v>
      </c>
      <c r="J755">
        <v>1230</v>
      </c>
      <c r="K755" s="141">
        <v>55.472999999999999</v>
      </c>
      <c r="O755" t="s">
        <v>1452</v>
      </c>
      <c r="P755">
        <v>0</v>
      </c>
      <c r="Q755" t="s">
        <v>1452</v>
      </c>
      <c r="U755">
        <v>27</v>
      </c>
      <c r="W755" t="s">
        <v>958</v>
      </c>
      <c r="X755" t="s">
        <v>883</v>
      </c>
      <c r="Y755" t="s">
        <v>1457</v>
      </c>
      <c r="AA755" t="s">
        <v>647</v>
      </c>
      <c r="AB755">
        <v>0</v>
      </c>
      <c r="AK755" t="s">
        <v>642</v>
      </c>
      <c r="AL755" t="s">
        <v>290</v>
      </c>
    </row>
    <row r="756" spans="1:39">
      <c r="A756" s="146">
        <v>46213.167048611111</v>
      </c>
      <c r="B756" s="146">
        <v>46212</v>
      </c>
      <c r="C756">
        <v>2021645</v>
      </c>
      <c r="D756" t="s">
        <v>629</v>
      </c>
      <c r="E756" t="s">
        <v>653</v>
      </c>
      <c r="F756" t="s">
        <v>650</v>
      </c>
      <c r="G756" t="s">
        <v>1458</v>
      </c>
      <c r="H756" t="s">
        <v>641</v>
      </c>
      <c r="I756" t="s">
        <v>87</v>
      </c>
      <c r="J756">
        <v>3210</v>
      </c>
      <c r="K756" s="141">
        <v>112.029</v>
      </c>
      <c r="O756" t="s">
        <v>1452</v>
      </c>
      <c r="P756">
        <v>0</v>
      </c>
      <c r="Q756" t="s">
        <v>1452</v>
      </c>
      <c r="U756">
        <v>70</v>
      </c>
      <c r="W756" t="s">
        <v>958</v>
      </c>
      <c r="X756" t="s">
        <v>883</v>
      </c>
      <c r="Y756" t="s">
        <v>1459</v>
      </c>
      <c r="AA756" t="s">
        <v>647</v>
      </c>
      <c r="AB756">
        <v>0</v>
      </c>
      <c r="AK756" t="s">
        <v>642</v>
      </c>
      <c r="AL756" t="s">
        <v>670</v>
      </c>
    </row>
    <row r="757" spans="1:39">
      <c r="A757" s="146">
        <v>46213.192141203705</v>
      </c>
      <c r="B757" s="146">
        <v>46212</v>
      </c>
      <c r="C757">
        <v>2223535</v>
      </c>
      <c r="D757" t="s">
        <v>400</v>
      </c>
      <c r="E757" t="s">
        <v>653</v>
      </c>
      <c r="F757" t="s">
        <v>650</v>
      </c>
      <c r="G757" t="s">
        <v>236</v>
      </c>
      <c r="H757" t="s">
        <v>641</v>
      </c>
      <c r="I757" t="s">
        <v>97</v>
      </c>
      <c r="J757">
        <v>1020</v>
      </c>
      <c r="K757" s="141">
        <v>72.929999999999993</v>
      </c>
      <c r="O757" t="s">
        <v>1460</v>
      </c>
      <c r="P757">
        <v>0</v>
      </c>
      <c r="Q757" t="s">
        <v>1460</v>
      </c>
      <c r="R757" t="s">
        <v>1461</v>
      </c>
      <c r="U757">
        <v>17</v>
      </c>
      <c r="W757" t="s">
        <v>958</v>
      </c>
      <c r="X757" t="s">
        <v>883</v>
      </c>
      <c r="Y757" t="s">
        <v>1462</v>
      </c>
      <c r="AA757" t="s">
        <v>419</v>
      </c>
      <c r="AB757">
        <v>0</v>
      </c>
      <c r="AK757" t="s">
        <v>642</v>
      </c>
      <c r="AL757" t="s">
        <v>290</v>
      </c>
    </row>
    <row r="758" spans="1:39">
      <c r="A758" s="146">
        <v>46213.210960648146</v>
      </c>
      <c r="B758" s="146">
        <v>46212</v>
      </c>
      <c r="C758">
        <v>2222332</v>
      </c>
      <c r="D758" t="s">
        <v>406</v>
      </c>
      <c r="E758" t="s">
        <v>653</v>
      </c>
      <c r="F758" t="s">
        <v>654</v>
      </c>
      <c r="G758" t="s">
        <v>482</v>
      </c>
      <c r="H758" t="s">
        <v>641</v>
      </c>
      <c r="I758" t="s">
        <v>101</v>
      </c>
      <c r="J758">
        <v>420</v>
      </c>
      <c r="K758" s="141">
        <v>33.683999999999997</v>
      </c>
      <c r="N758">
        <v>33.683999999999997</v>
      </c>
      <c r="O758" t="s">
        <v>1460</v>
      </c>
      <c r="P758">
        <v>0</v>
      </c>
      <c r="Q758" t="s">
        <v>1460</v>
      </c>
      <c r="S758">
        <v>0.5</v>
      </c>
      <c r="T758">
        <v>1</v>
      </c>
      <c r="U758">
        <v>13.5</v>
      </c>
      <c r="V758">
        <v>0.51851851851851849</v>
      </c>
      <c r="W758" t="s">
        <v>958</v>
      </c>
      <c r="X758" t="s">
        <v>883</v>
      </c>
      <c r="Y758" t="s">
        <v>1463</v>
      </c>
      <c r="AA758" t="s">
        <v>419</v>
      </c>
      <c r="AB758">
        <v>0</v>
      </c>
      <c r="AG758">
        <v>1</v>
      </c>
      <c r="AH758">
        <v>420</v>
      </c>
      <c r="AK758" t="s">
        <v>642</v>
      </c>
      <c r="AL758" t="s">
        <v>290</v>
      </c>
      <c r="AM758">
        <v>2</v>
      </c>
    </row>
    <row r="759" spans="1:39">
      <c r="A759" s="146">
        <v>46213.210960648146</v>
      </c>
      <c r="B759" s="146">
        <v>46212</v>
      </c>
      <c r="C759">
        <v>2222332</v>
      </c>
      <c r="D759" t="s">
        <v>406</v>
      </c>
      <c r="E759" t="s">
        <v>653</v>
      </c>
      <c r="F759" t="s">
        <v>650</v>
      </c>
      <c r="G759" t="s">
        <v>482</v>
      </c>
      <c r="H759" t="s">
        <v>641</v>
      </c>
      <c r="I759" t="s">
        <v>101</v>
      </c>
      <c r="J759">
        <v>420</v>
      </c>
      <c r="K759" s="141">
        <v>33.683999999999997</v>
      </c>
      <c r="O759" t="s">
        <v>1460</v>
      </c>
      <c r="P759">
        <v>0</v>
      </c>
      <c r="Q759" t="s">
        <v>1460</v>
      </c>
      <c r="U759">
        <v>13.5</v>
      </c>
      <c r="W759" t="s">
        <v>958</v>
      </c>
      <c r="X759" t="s">
        <v>883</v>
      </c>
      <c r="Y759" t="s">
        <v>1463</v>
      </c>
      <c r="AA759" t="s">
        <v>419</v>
      </c>
      <c r="AB759">
        <v>0</v>
      </c>
      <c r="AK759" t="s">
        <v>642</v>
      </c>
      <c r="AL759" t="s">
        <v>290</v>
      </c>
    </row>
    <row r="760" spans="1:39">
      <c r="A760" s="146">
        <v>46213.216111111113</v>
      </c>
      <c r="B760" s="146">
        <v>46212</v>
      </c>
      <c r="C760">
        <v>2222332</v>
      </c>
      <c r="D760" t="s">
        <v>406</v>
      </c>
      <c r="E760" t="s">
        <v>653</v>
      </c>
      <c r="F760" t="s">
        <v>650</v>
      </c>
      <c r="G760" t="s">
        <v>224</v>
      </c>
      <c r="H760" t="s">
        <v>641</v>
      </c>
      <c r="I760" t="s">
        <v>81</v>
      </c>
      <c r="J760">
        <v>1100</v>
      </c>
      <c r="K760" s="141">
        <v>19.689999999999998</v>
      </c>
      <c r="O760" t="s">
        <v>1460</v>
      </c>
      <c r="P760">
        <v>0</v>
      </c>
      <c r="Q760" t="s">
        <v>1460</v>
      </c>
      <c r="U760">
        <v>48</v>
      </c>
      <c r="W760" t="s">
        <v>958</v>
      </c>
      <c r="X760" t="s">
        <v>883</v>
      </c>
      <c r="Y760" t="s">
        <v>1464</v>
      </c>
      <c r="AA760" t="s">
        <v>419</v>
      </c>
      <c r="AB760">
        <v>0</v>
      </c>
      <c r="AK760" t="s">
        <v>642</v>
      </c>
      <c r="AL760" t="s">
        <v>59</v>
      </c>
    </row>
    <row r="761" spans="1:39">
      <c r="A761" s="146">
        <v>46213.216111111113</v>
      </c>
      <c r="B761" s="146">
        <v>46212</v>
      </c>
      <c r="C761">
        <v>2226596</v>
      </c>
      <c r="D761" t="s">
        <v>1465</v>
      </c>
      <c r="E761" t="s">
        <v>653</v>
      </c>
      <c r="F761" t="s">
        <v>650</v>
      </c>
      <c r="G761" t="s">
        <v>233</v>
      </c>
      <c r="H761" t="s">
        <v>641</v>
      </c>
      <c r="I761" t="s">
        <v>1466</v>
      </c>
      <c r="J761">
        <v>1230</v>
      </c>
      <c r="K761" s="141">
        <v>62.03</v>
      </c>
      <c r="O761" t="s">
        <v>1460</v>
      </c>
      <c r="P761">
        <v>0</v>
      </c>
      <c r="Q761" t="s">
        <v>1460</v>
      </c>
      <c r="U761">
        <v>21</v>
      </c>
      <c r="W761" t="s">
        <v>958</v>
      </c>
      <c r="X761" t="s">
        <v>883</v>
      </c>
      <c r="Y761" t="s">
        <v>1464</v>
      </c>
      <c r="AA761" t="s">
        <v>419</v>
      </c>
      <c r="AB761">
        <v>0</v>
      </c>
      <c r="AK761" t="s">
        <v>642</v>
      </c>
      <c r="AL761" t="s">
        <v>1467</v>
      </c>
    </row>
    <row r="762" spans="1:39">
      <c r="A762" s="146">
        <v>46213.530648148146</v>
      </c>
      <c r="B762" s="146">
        <v>46213</v>
      </c>
      <c r="C762">
        <v>1921551</v>
      </c>
      <c r="D762" t="s">
        <v>380</v>
      </c>
      <c r="E762" t="s">
        <v>659</v>
      </c>
      <c r="F762" t="s">
        <v>650</v>
      </c>
      <c r="G762" t="s">
        <v>1451</v>
      </c>
      <c r="H762" t="s">
        <v>641</v>
      </c>
      <c r="I762" t="s">
        <v>1420</v>
      </c>
      <c r="J762">
        <v>2500</v>
      </c>
      <c r="K762" s="141">
        <v>24</v>
      </c>
      <c r="N762">
        <v>0</v>
      </c>
      <c r="O762" t="s">
        <v>1460</v>
      </c>
      <c r="P762">
        <v>0</v>
      </c>
      <c r="Q762" t="s">
        <v>1460</v>
      </c>
      <c r="S762">
        <v>0</v>
      </c>
      <c r="T762">
        <v>1</v>
      </c>
      <c r="U762">
        <v>60</v>
      </c>
      <c r="V762">
        <v>0</v>
      </c>
      <c r="W762" t="s">
        <v>958</v>
      </c>
      <c r="X762" t="s">
        <v>883</v>
      </c>
      <c r="Y762" t="s">
        <v>1468</v>
      </c>
      <c r="AA762" t="s">
        <v>419</v>
      </c>
      <c r="AB762">
        <v>0</v>
      </c>
      <c r="AK762" t="s">
        <v>642</v>
      </c>
      <c r="AL762" t="s">
        <v>59</v>
      </c>
      <c r="AM762">
        <v>2</v>
      </c>
    </row>
    <row r="763" spans="1:39">
      <c r="A763" s="146">
        <v>46213.530648148146</v>
      </c>
      <c r="B763" s="146">
        <v>46213</v>
      </c>
      <c r="C763">
        <v>1921551</v>
      </c>
      <c r="D763" t="s">
        <v>380</v>
      </c>
      <c r="E763" t="s">
        <v>659</v>
      </c>
      <c r="F763" t="s">
        <v>650</v>
      </c>
      <c r="G763" t="s">
        <v>226</v>
      </c>
      <c r="H763" t="s">
        <v>641</v>
      </c>
      <c r="I763" t="s">
        <v>1469</v>
      </c>
      <c r="J763">
        <v>3210</v>
      </c>
      <c r="K763" s="141">
        <v>27.927</v>
      </c>
      <c r="O763" t="s">
        <v>1460</v>
      </c>
      <c r="P763">
        <v>0</v>
      </c>
      <c r="Q763" t="s">
        <v>1460</v>
      </c>
      <c r="U763">
        <v>60</v>
      </c>
      <c r="W763" t="s">
        <v>958</v>
      </c>
      <c r="X763" t="s">
        <v>883</v>
      </c>
      <c r="Y763" t="s">
        <v>1468</v>
      </c>
      <c r="AA763" t="s">
        <v>419</v>
      </c>
      <c r="AB763">
        <v>0</v>
      </c>
      <c r="AK763" t="s">
        <v>642</v>
      </c>
      <c r="AL763" t="s">
        <v>59</v>
      </c>
    </row>
    <row r="764" spans="1:39">
      <c r="A764" s="146">
        <v>46213.530648148146</v>
      </c>
      <c r="B764" s="146">
        <v>46213</v>
      </c>
      <c r="C764">
        <v>1921551</v>
      </c>
      <c r="D764" t="s">
        <v>380</v>
      </c>
      <c r="E764" t="s">
        <v>659</v>
      </c>
      <c r="F764" t="s">
        <v>650</v>
      </c>
      <c r="G764" t="s">
        <v>229</v>
      </c>
      <c r="H764" t="s">
        <v>641</v>
      </c>
      <c r="I764" t="s">
        <v>847</v>
      </c>
      <c r="J764">
        <v>1020</v>
      </c>
      <c r="K764" s="141">
        <v>50</v>
      </c>
      <c r="O764" t="s">
        <v>1460</v>
      </c>
      <c r="P764">
        <v>0</v>
      </c>
      <c r="Q764" t="s">
        <v>1460</v>
      </c>
      <c r="U764">
        <v>60</v>
      </c>
      <c r="W764" t="s">
        <v>958</v>
      </c>
      <c r="X764" t="s">
        <v>883</v>
      </c>
      <c r="Y764" t="s">
        <v>1468</v>
      </c>
      <c r="AA764" t="s">
        <v>419</v>
      </c>
      <c r="AB764">
        <v>0</v>
      </c>
      <c r="AK764" t="s">
        <v>642</v>
      </c>
      <c r="AL764" t="s">
        <v>59</v>
      </c>
    </row>
    <row r="765" spans="1:39">
      <c r="A765" s="146">
        <v>46213.549490740741</v>
      </c>
      <c r="B765" s="146">
        <v>46212</v>
      </c>
      <c r="C765">
        <v>2221908</v>
      </c>
      <c r="D765" t="s">
        <v>398</v>
      </c>
      <c r="E765" t="s">
        <v>659</v>
      </c>
      <c r="F765" t="s">
        <v>650</v>
      </c>
      <c r="G765" t="s">
        <v>225</v>
      </c>
      <c r="H765" t="s">
        <v>641</v>
      </c>
      <c r="I765" t="s">
        <v>1479</v>
      </c>
      <c r="J765">
        <v>2790</v>
      </c>
      <c r="K765" s="141">
        <v>64.914000000000001</v>
      </c>
      <c r="O765" t="s">
        <v>1336</v>
      </c>
      <c r="P765">
        <v>2</v>
      </c>
      <c r="Q765" t="s">
        <v>1336</v>
      </c>
      <c r="U765">
        <v>30</v>
      </c>
      <c r="W765" t="s">
        <v>958</v>
      </c>
      <c r="X765" t="s">
        <v>883</v>
      </c>
      <c r="Y765" t="s">
        <v>1470</v>
      </c>
      <c r="AA765" t="s">
        <v>652</v>
      </c>
      <c r="AB765">
        <v>0</v>
      </c>
      <c r="AK765" t="s">
        <v>642</v>
      </c>
      <c r="AL765" t="s">
        <v>59</v>
      </c>
    </row>
    <row r="766" spans="1:39">
      <c r="A766" s="146">
        <v>46213.55300925926</v>
      </c>
      <c r="B766" s="146">
        <v>46212</v>
      </c>
      <c r="C766">
        <v>2325295</v>
      </c>
      <c r="D766" t="s">
        <v>411</v>
      </c>
      <c r="E766" t="s">
        <v>659</v>
      </c>
      <c r="F766" t="s">
        <v>650</v>
      </c>
      <c r="G766" t="s">
        <v>262</v>
      </c>
      <c r="H766" t="s">
        <v>641</v>
      </c>
      <c r="I766" t="s">
        <v>1472</v>
      </c>
      <c r="J766">
        <v>4545</v>
      </c>
      <c r="K766" s="141">
        <v>91.354500000000002</v>
      </c>
      <c r="O766" t="s">
        <v>1336</v>
      </c>
      <c r="P766">
        <v>2</v>
      </c>
      <c r="Q766" t="s">
        <v>1336</v>
      </c>
      <c r="U766">
        <v>40</v>
      </c>
      <c r="W766" t="s">
        <v>958</v>
      </c>
      <c r="X766" t="s">
        <v>883</v>
      </c>
      <c r="Y766" t="s">
        <v>1471</v>
      </c>
      <c r="AA766" t="s">
        <v>652</v>
      </c>
      <c r="AB766">
        <v>0</v>
      </c>
      <c r="AK766" t="s">
        <v>642</v>
      </c>
      <c r="AL766" t="s">
        <v>59</v>
      </c>
    </row>
    <row r="767" spans="1:39">
      <c r="A767" s="146">
        <v>46213.559467592589</v>
      </c>
      <c r="B767" s="146">
        <v>46212</v>
      </c>
      <c r="C767">
        <v>2020965</v>
      </c>
      <c r="D767" t="s">
        <v>386</v>
      </c>
      <c r="E767" t="s">
        <v>659</v>
      </c>
      <c r="F767" t="s">
        <v>650</v>
      </c>
      <c r="G767" t="s">
        <v>227</v>
      </c>
      <c r="H767" t="s">
        <v>641</v>
      </c>
      <c r="I767" t="s">
        <v>96</v>
      </c>
      <c r="J767">
        <v>5020</v>
      </c>
      <c r="K767" s="141">
        <v>89.85799999999999</v>
      </c>
      <c r="O767" t="s">
        <v>1473</v>
      </c>
      <c r="P767">
        <v>0</v>
      </c>
      <c r="Q767" t="s">
        <v>1473</v>
      </c>
      <c r="U767">
        <v>50</v>
      </c>
      <c r="W767" t="s">
        <v>958</v>
      </c>
      <c r="X767" t="s">
        <v>883</v>
      </c>
      <c r="Y767" t="s">
        <v>1474</v>
      </c>
      <c r="AA767" t="s">
        <v>647</v>
      </c>
      <c r="AB767">
        <v>0</v>
      </c>
      <c r="AK767" t="s">
        <v>642</v>
      </c>
      <c r="AL767" t="s">
        <v>290</v>
      </c>
    </row>
    <row r="768" spans="1:39">
      <c r="A768" s="146">
        <v>46213.560567129629</v>
      </c>
      <c r="B768" s="146">
        <v>46212</v>
      </c>
      <c r="C768">
        <v>2020965</v>
      </c>
      <c r="D768" t="s">
        <v>386</v>
      </c>
      <c r="E768" t="s">
        <v>659</v>
      </c>
      <c r="F768" t="s">
        <v>650</v>
      </c>
      <c r="G768" t="s">
        <v>216</v>
      </c>
      <c r="H768" t="s">
        <v>641</v>
      </c>
      <c r="I768" t="s">
        <v>95</v>
      </c>
      <c r="J768">
        <v>1230</v>
      </c>
      <c r="K768" s="141">
        <v>63.468000000000004</v>
      </c>
      <c r="O768" t="s">
        <v>1473</v>
      </c>
      <c r="P768">
        <v>0</v>
      </c>
      <c r="Q768" t="s">
        <v>1473</v>
      </c>
      <c r="U768">
        <v>27</v>
      </c>
      <c r="W768" t="s">
        <v>958</v>
      </c>
      <c r="X768" t="s">
        <v>883</v>
      </c>
      <c r="Y768" t="s">
        <v>1475</v>
      </c>
      <c r="AA768" t="s">
        <v>647</v>
      </c>
      <c r="AB768">
        <v>0</v>
      </c>
      <c r="AK768" t="s">
        <v>642</v>
      </c>
      <c r="AL768" t="s">
        <v>290</v>
      </c>
    </row>
    <row r="769" spans="1:39">
      <c r="A769" s="146">
        <v>46213.571655092594</v>
      </c>
      <c r="B769" s="146">
        <v>46212</v>
      </c>
      <c r="C769">
        <v>2325365</v>
      </c>
      <c r="D769" t="s">
        <v>414</v>
      </c>
      <c r="E769" t="s">
        <v>659</v>
      </c>
      <c r="F769" t="s">
        <v>650</v>
      </c>
      <c r="G769" t="s">
        <v>234</v>
      </c>
      <c r="H769" t="s">
        <v>641</v>
      </c>
      <c r="I769" t="s">
        <v>82</v>
      </c>
      <c r="K769" s="141">
        <v>0</v>
      </c>
      <c r="O769" t="s">
        <v>1473</v>
      </c>
      <c r="P769">
        <v>0</v>
      </c>
      <c r="Q769" t="s">
        <v>1473</v>
      </c>
      <c r="U769">
        <v>30</v>
      </c>
      <c r="W769" t="s">
        <v>958</v>
      </c>
      <c r="X769" t="s">
        <v>883</v>
      </c>
      <c r="Y769" t="s">
        <v>1476</v>
      </c>
      <c r="AA769" t="s">
        <v>647</v>
      </c>
      <c r="AB769">
        <v>0</v>
      </c>
      <c r="AK769" t="s">
        <v>642</v>
      </c>
      <c r="AL769" t="s">
        <v>290</v>
      </c>
    </row>
    <row r="770" spans="1:39">
      <c r="A770" s="146">
        <v>46213.573159722226</v>
      </c>
      <c r="B770" s="146">
        <v>46212</v>
      </c>
      <c r="C770">
        <v>2325310</v>
      </c>
      <c r="D770" t="s">
        <v>413</v>
      </c>
      <c r="E770" t="s">
        <v>659</v>
      </c>
      <c r="F770" t="s">
        <v>650</v>
      </c>
      <c r="G770" t="s">
        <v>481</v>
      </c>
      <c r="H770" t="s">
        <v>641</v>
      </c>
      <c r="I770" t="s">
        <v>1478</v>
      </c>
      <c r="J770">
        <v>1680</v>
      </c>
      <c r="K770" s="141">
        <v>134.73599999999999</v>
      </c>
      <c r="O770" t="s">
        <v>1473</v>
      </c>
      <c r="P770">
        <v>0</v>
      </c>
      <c r="Q770" t="s">
        <v>1473</v>
      </c>
      <c r="U770">
        <v>13.5</v>
      </c>
      <c r="W770" t="s">
        <v>958</v>
      </c>
      <c r="X770" t="s">
        <v>883</v>
      </c>
      <c r="Y770" t="s">
        <v>1477</v>
      </c>
      <c r="AA770" t="s">
        <v>419</v>
      </c>
      <c r="AB770">
        <v>0</v>
      </c>
      <c r="AK770" t="s">
        <v>642</v>
      </c>
      <c r="AL770" t="s">
        <v>290</v>
      </c>
    </row>
    <row r="771" spans="1:39">
      <c r="A771" s="146">
        <v>46213.579560185186</v>
      </c>
      <c r="B771" s="146">
        <v>46212</v>
      </c>
      <c r="C771">
        <v>2228947</v>
      </c>
      <c r="D771" t="s">
        <v>416</v>
      </c>
      <c r="E771" t="s">
        <v>659</v>
      </c>
      <c r="F771" t="s">
        <v>650</v>
      </c>
      <c r="G771" t="s">
        <v>1390</v>
      </c>
      <c r="H771" t="s">
        <v>641</v>
      </c>
      <c r="I771" t="s">
        <v>1481</v>
      </c>
      <c r="J771">
        <v>3000</v>
      </c>
      <c r="K771" s="141">
        <v>26.099999999999998</v>
      </c>
      <c r="O771" t="s">
        <v>1473</v>
      </c>
      <c r="P771">
        <v>0</v>
      </c>
      <c r="Q771" t="s">
        <v>1473</v>
      </c>
      <c r="U771">
        <v>70</v>
      </c>
      <c r="W771" t="s">
        <v>958</v>
      </c>
      <c r="X771" t="s">
        <v>883</v>
      </c>
      <c r="Y771" t="s">
        <v>1480</v>
      </c>
      <c r="AA771" t="s">
        <v>647</v>
      </c>
      <c r="AB771">
        <v>0</v>
      </c>
      <c r="AK771" t="s">
        <v>642</v>
      </c>
      <c r="AL771" t="s">
        <v>290</v>
      </c>
    </row>
    <row r="772" spans="1:39">
      <c r="A772" s="146">
        <v>46213.699814814812</v>
      </c>
      <c r="B772" s="146">
        <v>46212</v>
      </c>
      <c r="C772">
        <v>2325374</v>
      </c>
      <c r="D772" t="s">
        <v>415</v>
      </c>
      <c r="E772" t="s">
        <v>643</v>
      </c>
      <c r="F772" t="s">
        <v>650</v>
      </c>
      <c r="G772" t="s">
        <v>466</v>
      </c>
      <c r="H772" t="s">
        <v>641</v>
      </c>
      <c r="I772" t="s">
        <v>1484</v>
      </c>
      <c r="J772">
        <v>4530</v>
      </c>
      <c r="K772" s="141">
        <v>81.087000000000003</v>
      </c>
      <c r="O772" t="s">
        <v>1473</v>
      </c>
      <c r="P772">
        <v>0</v>
      </c>
      <c r="Q772" t="s">
        <v>1473</v>
      </c>
      <c r="R772" t="s">
        <v>1482</v>
      </c>
      <c r="U772">
        <v>50</v>
      </c>
      <c r="W772" t="s">
        <v>958</v>
      </c>
      <c r="X772" t="s">
        <v>883</v>
      </c>
      <c r="Y772" t="s">
        <v>1483</v>
      </c>
      <c r="AA772" t="s">
        <v>647</v>
      </c>
      <c r="AB772">
        <v>0</v>
      </c>
      <c r="AK772" t="s">
        <v>642</v>
      </c>
      <c r="AL772" t="s">
        <v>290</v>
      </c>
    </row>
    <row r="773" spans="1:39">
      <c r="A773" s="146">
        <v>46213.549490740741</v>
      </c>
      <c r="B773" s="146">
        <v>46212</v>
      </c>
      <c r="C773">
        <v>2243991</v>
      </c>
      <c r="D773" t="s">
        <v>410</v>
      </c>
      <c r="E773" t="s">
        <v>643</v>
      </c>
      <c r="F773" t="s">
        <v>650</v>
      </c>
      <c r="G773" t="s">
        <v>233</v>
      </c>
      <c r="H773" t="s">
        <v>641</v>
      </c>
      <c r="I773" t="s">
        <v>1486</v>
      </c>
      <c r="J773">
        <v>615</v>
      </c>
      <c r="K773" s="141">
        <v>26</v>
      </c>
      <c r="N773">
        <v>0</v>
      </c>
      <c r="O773" t="s">
        <v>1460</v>
      </c>
      <c r="P773">
        <v>2</v>
      </c>
      <c r="Q773" t="s">
        <v>1460</v>
      </c>
      <c r="R773" t="s">
        <v>1485</v>
      </c>
      <c r="U773">
        <v>21</v>
      </c>
      <c r="V773">
        <v>0</v>
      </c>
      <c r="W773" t="s">
        <v>958</v>
      </c>
      <c r="X773" t="s">
        <v>883</v>
      </c>
      <c r="Y773" t="s">
        <v>1470</v>
      </c>
      <c r="AA773" t="s">
        <v>419</v>
      </c>
      <c r="AB773">
        <v>0</v>
      </c>
      <c r="AK773" t="s">
        <v>642</v>
      </c>
      <c r="AL773" t="s">
        <v>290</v>
      </c>
      <c r="AM773">
        <v>2</v>
      </c>
    </row>
    <row r="774" spans="1:39">
      <c r="A774" s="146">
        <v>46213.549490740741</v>
      </c>
      <c r="B774" s="146">
        <v>46212</v>
      </c>
      <c r="C774">
        <v>2243991</v>
      </c>
      <c r="D774" t="s">
        <v>410</v>
      </c>
      <c r="E774" t="s">
        <v>643</v>
      </c>
      <c r="F774" t="s">
        <v>650</v>
      </c>
      <c r="G774" t="s">
        <v>225</v>
      </c>
      <c r="H774" t="s">
        <v>641</v>
      </c>
      <c r="I774" t="s">
        <v>1487</v>
      </c>
      <c r="J774">
        <v>930</v>
      </c>
      <c r="K774" s="141">
        <v>22</v>
      </c>
      <c r="O774" t="s">
        <v>1336</v>
      </c>
      <c r="P774">
        <v>2</v>
      </c>
      <c r="Q774" t="s">
        <v>1336</v>
      </c>
      <c r="R774" t="s">
        <v>1488</v>
      </c>
      <c r="U774">
        <v>30</v>
      </c>
      <c r="W774" t="s">
        <v>958</v>
      </c>
      <c r="X774" t="s">
        <v>883</v>
      </c>
      <c r="Y774" t="s">
        <v>1470</v>
      </c>
      <c r="AA774" t="s">
        <v>652</v>
      </c>
      <c r="AB774">
        <v>0</v>
      </c>
      <c r="AK774" t="s">
        <v>642</v>
      </c>
      <c r="AL774" t="s">
        <v>59</v>
      </c>
      <c r="AM774">
        <v>2</v>
      </c>
    </row>
    <row r="775" spans="1:39">
      <c r="A775" s="146">
        <v>46213.834224537037</v>
      </c>
      <c r="B775" s="146">
        <v>46212</v>
      </c>
      <c r="C775">
        <v>2325374</v>
      </c>
      <c r="D775" t="s">
        <v>415</v>
      </c>
      <c r="E775" t="s">
        <v>643</v>
      </c>
      <c r="F775" t="s">
        <v>650</v>
      </c>
      <c r="G775" t="s">
        <v>1489</v>
      </c>
      <c r="H775" t="s">
        <v>641</v>
      </c>
      <c r="I775" t="s">
        <v>1491</v>
      </c>
      <c r="J775">
        <v>1510</v>
      </c>
      <c r="K775" s="141">
        <v>27.029</v>
      </c>
      <c r="O775" t="s">
        <v>1473</v>
      </c>
      <c r="P775">
        <v>0</v>
      </c>
      <c r="Q775" t="s">
        <v>1473</v>
      </c>
      <c r="R775" t="s">
        <v>1482</v>
      </c>
      <c r="U775">
        <v>50</v>
      </c>
      <c r="W775" t="s">
        <v>958</v>
      </c>
      <c r="X775" t="s">
        <v>883</v>
      </c>
      <c r="Y775" t="s">
        <v>1490</v>
      </c>
      <c r="AA775" t="s">
        <v>647</v>
      </c>
      <c r="AB775">
        <v>0</v>
      </c>
      <c r="AK775" t="s">
        <v>642</v>
      </c>
      <c r="AL775" t="s">
        <v>290</v>
      </c>
    </row>
    <row r="776" spans="1:39">
      <c r="A776" s="146">
        <v>46213.834224537037</v>
      </c>
      <c r="B776" s="146">
        <v>46212</v>
      </c>
      <c r="C776">
        <v>2224358</v>
      </c>
      <c r="D776" t="s">
        <v>417</v>
      </c>
      <c r="E776" t="s">
        <v>643</v>
      </c>
      <c r="F776" t="s">
        <v>650</v>
      </c>
      <c r="G776" t="s">
        <v>252</v>
      </c>
      <c r="H776" t="s">
        <v>641</v>
      </c>
      <c r="I776" t="s">
        <v>1492</v>
      </c>
      <c r="J776">
        <v>3210</v>
      </c>
      <c r="K776" s="141">
        <v>82.015000000000001</v>
      </c>
      <c r="O776" t="s">
        <v>1352</v>
      </c>
      <c r="P776">
        <v>0</v>
      </c>
      <c r="Q776" t="s">
        <v>952</v>
      </c>
      <c r="R776" t="s">
        <v>1493</v>
      </c>
      <c r="U776">
        <v>70</v>
      </c>
      <c r="W776" t="s">
        <v>958</v>
      </c>
      <c r="X776" t="s">
        <v>883</v>
      </c>
      <c r="Y776" t="s">
        <v>1357</v>
      </c>
      <c r="AA776" t="s">
        <v>419</v>
      </c>
      <c r="AB776">
        <v>0</v>
      </c>
      <c r="AK776" t="s">
        <v>642</v>
      </c>
      <c r="AL776" t="s">
        <v>290</v>
      </c>
    </row>
    <row r="777" spans="1:39">
      <c r="A777" s="146">
        <v>46213.898078703707</v>
      </c>
      <c r="B777" s="146">
        <v>46212</v>
      </c>
      <c r="C777">
        <v>2222785</v>
      </c>
      <c r="D777" t="s">
        <v>399</v>
      </c>
      <c r="E777" t="s">
        <v>643</v>
      </c>
      <c r="F777" t="s">
        <v>650</v>
      </c>
      <c r="G777" t="s">
        <v>234</v>
      </c>
      <c r="H777" t="s">
        <v>641</v>
      </c>
      <c r="I777" t="s">
        <v>1496</v>
      </c>
      <c r="J777">
        <v>930</v>
      </c>
      <c r="K777" s="141">
        <v>32.457000000000001</v>
      </c>
      <c r="N777">
        <v>32.457000000000001</v>
      </c>
      <c r="O777" t="s">
        <v>1473</v>
      </c>
      <c r="P777">
        <v>0</v>
      </c>
      <c r="Q777" t="s">
        <v>1473</v>
      </c>
      <c r="S777">
        <v>0</v>
      </c>
      <c r="T777">
        <v>0.5</v>
      </c>
      <c r="U777">
        <v>30</v>
      </c>
      <c r="V777">
        <v>1.0333333333333334</v>
      </c>
      <c r="W777" t="s">
        <v>958</v>
      </c>
      <c r="X777" t="s">
        <v>883</v>
      </c>
      <c r="Y777" t="s">
        <v>1494</v>
      </c>
      <c r="AA777" t="s">
        <v>647</v>
      </c>
      <c r="AB777">
        <v>0</v>
      </c>
      <c r="AI777">
        <v>1</v>
      </c>
      <c r="AJ777">
        <v>930</v>
      </c>
      <c r="AK777" t="s">
        <v>642</v>
      </c>
      <c r="AL777" t="s">
        <v>290</v>
      </c>
      <c r="AM777">
        <v>2</v>
      </c>
    </row>
    <row r="778" spans="1:39">
      <c r="A778" s="146">
        <v>46213.898854166669</v>
      </c>
      <c r="B778" s="146">
        <v>46212</v>
      </c>
      <c r="C778">
        <v>2222785</v>
      </c>
      <c r="D778" t="s">
        <v>399</v>
      </c>
      <c r="E778" t="s">
        <v>643</v>
      </c>
      <c r="F778" t="s">
        <v>650</v>
      </c>
      <c r="G778" t="s">
        <v>222</v>
      </c>
      <c r="H778" t="s">
        <v>641</v>
      </c>
      <c r="I778" t="s">
        <v>1503</v>
      </c>
      <c r="J778">
        <v>4530</v>
      </c>
      <c r="K778" s="141">
        <v>81.087000000000003</v>
      </c>
      <c r="N778">
        <v>81.087000000000003</v>
      </c>
      <c r="O778" t="s">
        <v>1473</v>
      </c>
      <c r="P778">
        <v>0</v>
      </c>
      <c r="Q778" t="s">
        <v>1473</v>
      </c>
      <c r="S778">
        <v>0</v>
      </c>
      <c r="T778">
        <v>1.5</v>
      </c>
      <c r="U778">
        <v>50</v>
      </c>
      <c r="V778">
        <v>1.0066666666666666</v>
      </c>
      <c r="W778" t="s">
        <v>958</v>
      </c>
      <c r="X778" t="s">
        <v>883</v>
      </c>
      <c r="Y778" t="s">
        <v>1495</v>
      </c>
      <c r="AA778" t="s">
        <v>647</v>
      </c>
      <c r="AB778">
        <v>0</v>
      </c>
      <c r="AI778">
        <v>2</v>
      </c>
      <c r="AJ778">
        <v>4530</v>
      </c>
      <c r="AK778" t="s">
        <v>642</v>
      </c>
      <c r="AL778" t="s">
        <v>290</v>
      </c>
      <c r="AM778">
        <v>2</v>
      </c>
    </row>
    <row r="779" spans="1:39">
      <c r="A779" s="146">
        <v>46213.904085648152</v>
      </c>
      <c r="B779" s="146">
        <v>46213</v>
      </c>
      <c r="C779">
        <v>2020488</v>
      </c>
      <c r="D779" t="s">
        <v>383</v>
      </c>
      <c r="E779" t="s">
        <v>643</v>
      </c>
      <c r="F779" t="s">
        <v>650</v>
      </c>
      <c r="G779" t="s">
        <v>229</v>
      </c>
      <c r="H779" t="s">
        <v>641</v>
      </c>
      <c r="I779" t="s">
        <v>1500</v>
      </c>
      <c r="J779">
        <v>1020</v>
      </c>
      <c r="K779" s="141">
        <v>72.929999999999993</v>
      </c>
      <c r="O779" t="s">
        <v>1473</v>
      </c>
      <c r="P779">
        <v>0</v>
      </c>
      <c r="Q779" t="s">
        <v>1473</v>
      </c>
      <c r="U779">
        <v>17</v>
      </c>
      <c r="W779" t="s">
        <v>958</v>
      </c>
      <c r="X779" t="s">
        <v>883</v>
      </c>
      <c r="Y779" t="s">
        <v>1497</v>
      </c>
      <c r="AA779" t="s">
        <v>647</v>
      </c>
      <c r="AB779">
        <v>0</v>
      </c>
      <c r="AK779" t="s">
        <v>642</v>
      </c>
      <c r="AL779" t="s">
        <v>290</v>
      </c>
    </row>
    <row r="780" spans="1:39">
      <c r="A780" s="146">
        <v>46213.904606481483</v>
      </c>
      <c r="B780" s="146">
        <v>46213</v>
      </c>
      <c r="C780">
        <v>2020488</v>
      </c>
      <c r="D780" t="s">
        <v>383</v>
      </c>
      <c r="E780" t="s">
        <v>643</v>
      </c>
      <c r="F780" t="s">
        <v>650</v>
      </c>
      <c r="G780" t="s">
        <v>244</v>
      </c>
      <c r="H780" t="s">
        <v>641</v>
      </c>
      <c r="I780" t="s">
        <v>1501</v>
      </c>
      <c r="J780">
        <v>510</v>
      </c>
      <c r="K780" s="141">
        <v>36.464999999999996</v>
      </c>
      <c r="O780" t="s">
        <v>1473</v>
      </c>
      <c r="P780">
        <v>0</v>
      </c>
      <c r="Q780" t="s">
        <v>1473</v>
      </c>
      <c r="U780">
        <v>17</v>
      </c>
      <c r="W780" t="s">
        <v>958</v>
      </c>
      <c r="X780" t="s">
        <v>883</v>
      </c>
      <c r="Y780" t="s">
        <v>1498</v>
      </c>
      <c r="AA780" t="s">
        <v>647</v>
      </c>
      <c r="AB780">
        <v>0</v>
      </c>
      <c r="AK780" t="s">
        <v>642</v>
      </c>
      <c r="AL780" t="s">
        <v>290</v>
      </c>
    </row>
    <row r="781" spans="1:39">
      <c r="A781" s="146">
        <v>46213.904988425929</v>
      </c>
      <c r="B781" s="146">
        <v>46213</v>
      </c>
      <c r="C781">
        <v>2020488</v>
      </c>
      <c r="D781" t="s">
        <v>383</v>
      </c>
      <c r="E781" t="s">
        <v>643</v>
      </c>
      <c r="F781" t="s">
        <v>654</v>
      </c>
      <c r="G781" t="s">
        <v>437</v>
      </c>
      <c r="H781" t="s">
        <v>641</v>
      </c>
      <c r="I781" t="s">
        <v>1502</v>
      </c>
      <c r="J781">
        <v>510</v>
      </c>
      <c r="K781" s="141">
        <v>36.464999999999996</v>
      </c>
      <c r="N781">
        <v>36.464999999999996</v>
      </c>
      <c r="O781" t="s">
        <v>1473</v>
      </c>
      <c r="P781">
        <v>0</v>
      </c>
      <c r="Q781" t="s">
        <v>1473</v>
      </c>
      <c r="S781">
        <v>0</v>
      </c>
      <c r="T781">
        <v>0.5</v>
      </c>
      <c r="U781">
        <v>17</v>
      </c>
      <c r="V781">
        <v>1</v>
      </c>
      <c r="W781" t="s">
        <v>958</v>
      </c>
      <c r="X781" t="s">
        <v>883</v>
      </c>
      <c r="Y781" t="s">
        <v>1499</v>
      </c>
      <c r="AA781" t="s">
        <v>647</v>
      </c>
      <c r="AB781">
        <v>0</v>
      </c>
      <c r="AG781">
        <v>1</v>
      </c>
      <c r="AH781">
        <v>510</v>
      </c>
      <c r="AK781" t="s">
        <v>642</v>
      </c>
      <c r="AL781" t="s">
        <v>290</v>
      </c>
      <c r="AM781">
        <v>2</v>
      </c>
    </row>
    <row r="782" spans="1:39">
      <c r="A782" s="146">
        <v>46213.904988425929</v>
      </c>
      <c r="B782" s="146">
        <v>46213</v>
      </c>
      <c r="C782">
        <v>2325301</v>
      </c>
      <c r="D782" t="s">
        <v>412</v>
      </c>
      <c r="E782" t="s">
        <v>643</v>
      </c>
      <c r="F782" t="s">
        <v>650</v>
      </c>
      <c r="G782" t="s">
        <v>224</v>
      </c>
      <c r="H782" t="s">
        <v>641</v>
      </c>
      <c r="I782" t="s">
        <v>1504</v>
      </c>
      <c r="J782">
        <v>1510</v>
      </c>
      <c r="K782" s="141">
        <v>30</v>
      </c>
      <c r="O782" t="s">
        <v>662</v>
      </c>
      <c r="P782">
        <v>0</v>
      </c>
      <c r="Q782" t="s">
        <v>662</v>
      </c>
      <c r="U782">
        <v>48</v>
      </c>
      <c r="W782" t="s">
        <v>958</v>
      </c>
      <c r="X782" t="s">
        <v>883</v>
      </c>
      <c r="Y782" t="s">
        <v>1079</v>
      </c>
      <c r="AA782" t="s">
        <v>419</v>
      </c>
      <c r="AB782">
        <v>0</v>
      </c>
      <c r="AK782" t="s">
        <v>642</v>
      </c>
      <c r="AL782" t="s">
        <v>290</v>
      </c>
    </row>
    <row r="783" spans="1:39">
      <c r="A783" s="146">
        <v>46213.904988425929</v>
      </c>
      <c r="B783" s="146">
        <v>46213</v>
      </c>
      <c r="C783">
        <v>2325301</v>
      </c>
      <c r="D783" t="s">
        <v>412</v>
      </c>
      <c r="E783" t="s">
        <v>643</v>
      </c>
      <c r="F783" t="s">
        <v>650</v>
      </c>
      <c r="G783" t="s">
        <v>1505</v>
      </c>
      <c r="H783" t="s">
        <v>641</v>
      </c>
      <c r="I783" t="s">
        <v>1506</v>
      </c>
      <c r="J783">
        <v>420</v>
      </c>
      <c r="K783" s="141">
        <v>30</v>
      </c>
      <c r="O783" t="s">
        <v>662</v>
      </c>
      <c r="P783">
        <v>0</v>
      </c>
      <c r="Q783" t="s">
        <v>662</v>
      </c>
      <c r="U783">
        <v>48</v>
      </c>
      <c r="W783" t="s">
        <v>958</v>
      </c>
      <c r="X783" t="s">
        <v>883</v>
      </c>
      <c r="Y783" t="s">
        <v>1079</v>
      </c>
      <c r="AA783" t="s">
        <v>419</v>
      </c>
      <c r="AB783">
        <v>0</v>
      </c>
      <c r="AK783" t="s">
        <v>642</v>
      </c>
      <c r="AL783" t="s">
        <v>290</v>
      </c>
    </row>
    <row r="784" spans="1:39">
      <c r="A784" s="146">
        <v>46214.20039351852</v>
      </c>
      <c r="B784" s="146">
        <v>46213</v>
      </c>
      <c r="C784">
        <v>2222332</v>
      </c>
      <c r="D784" t="s">
        <v>406</v>
      </c>
      <c r="E784" t="s">
        <v>653</v>
      </c>
      <c r="F784" t="s">
        <v>650</v>
      </c>
      <c r="G784" t="s">
        <v>224</v>
      </c>
      <c r="H784" t="s">
        <v>641</v>
      </c>
      <c r="I784" t="s">
        <v>81</v>
      </c>
      <c r="J784">
        <v>3020</v>
      </c>
      <c r="K784" s="141">
        <v>54.058</v>
      </c>
      <c r="O784" t="s">
        <v>1473</v>
      </c>
      <c r="P784">
        <v>0</v>
      </c>
      <c r="Q784" t="s">
        <v>1473</v>
      </c>
      <c r="U784">
        <v>48</v>
      </c>
      <c r="W784" t="s">
        <v>958</v>
      </c>
      <c r="X784" t="s">
        <v>883</v>
      </c>
      <c r="Y784" t="s">
        <v>1507</v>
      </c>
      <c r="AA784" t="s">
        <v>647</v>
      </c>
      <c r="AB784">
        <v>0</v>
      </c>
      <c r="AK784" t="s">
        <v>642</v>
      </c>
      <c r="AL784" t="s">
        <v>59</v>
      </c>
    </row>
    <row r="785" spans="1:38">
      <c r="A785" s="146">
        <v>46214.20171296296</v>
      </c>
      <c r="B785" s="146">
        <v>46213</v>
      </c>
      <c r="C785">
        <v>2222332</v>
      </c>
      <c r="D785" t="s">
        <v>406</v>
      </c>
      <c r="E785" t="s">
        <v>653</v>
      </c>
      <c r="F785" t="s">
        <v>650</v>
      </c>
      <c r="G785" t="s">
        <v>481</v>
      </c>
      <c r="H785" t="s">
        <v>641</v>
      </c>
      <c r="I785" t="s">
        <v>101</v>
      </c>
      <c r="J785">
        <v>600</v>
      </c>
      <c r="K785" s="141">
        <v>48.12</v>
      </c>
      <c r="O785" t="s">
        <v>1473</v>
      </c>
      <c r="P785">
        <v>0</v>
      </c>
      <c r="Q785" t="s">
        <v>1473</v>
      </c>
      <c r="U785">
        <v>13.5</v>
      </c>
      <c r="W785" t="s">
        <v>958</v>
      </c>
      <c r="X785" t="s">
        <v>883</v>
      </c>
      <c r="Y785" t="s">
        <v>1508</v>
      </c>
      <c r="AA785" t="s">
        <v>647</v>
      </c>
      <c r="AB785">
        <v>0</v>
      </c>
      <c r="AK785" t="s">
        <v>642</v>
      </c>
      <c r="AL785" t="s">
        <v>290</v>
      </c>
    </row>
    <row r="786" spans="1:38">
      <c r="A786" s="146">
        <v>46214.207546296297</v>
      </c>
      <c r="B786" s="146">
        <v>46213</v>
      </c>
      <c r="C786">
        <v>2021645</v>
      </c>
      <c r="D786" t="s">
        <v>629</v>
      </c>
      <c r="E786" t="s">
        <v>653</v>
      </c>
      <c r="F786" t="s">
        <v>650</v>
      </c>
      <c r="G786" t="s">
        <v>252</v>
      </c>
      <c r="H786" t="s">
        <v>641</v>
      </c>
      <c r="I786" t="s">
        <v>87</v>
      </c>
      <c r="J786">
        <v>3210</v>
      </c>
      <c r="K786" s="141">
        <v>27.927</v>
      </c>
      <c r="O786" t="s">
        <v>1473</v>
      </c>
      <c r="P786">
        <v>0</v>
      </c>
      <c r="Q786" t="s">
        <v>1473</v>
      </c>
      <c r="U786">
        <v>70</v>
      </c>
      <c r="W786" t="s">
        <v>958</v>
      </c>
      <c r="X786" t="s">
        <v>883</v>
      </c>
      <c r="Y786" t="s">
        <v>1509</v>
      </c>
      <c r="AA786" t="s">
        <v>647</v>
      </c>
      <c r="AB786">
        <v>0</v>
      </c>
      <c r="AK786" t="s">
        <v>642</v>
      </c>
      <c r="AL786" t="s">
        <v>290</v>
      </c>
    </row>
    <row r="787" spans="1:38">
      <c r="A787" s="146">
        <v>46214.207546296297</v>
      </c>
      <c r="B787" s="146">
        <v>46213</v>
      </c>
      <c r="C787">
        <v>2226596</v>
      </c>
      <c r="D787" t="s">
        <v>403</v>
      </c>
      <c r="E787" t="s">
        <v>653</v>
      </c>
      <c r="F787" t="s">
        <v>650</v>
      </c>
      <c r="G787" t="s">
        <v>225</v>
      </c>
      <c r="H787" t="s">
        <v>641</v>
      </c>
      <c r="I787" t="s">
        <v>89</v>
      </c>
      <c r="J787">
        <v>500</v>
      </c>
      <c r="K787" s="141">
        <v>16.23</v>
      </c>
      <c r="O787" t="s">
        <v>1336</v>
      </c>
      <c r="P787">
        <v>2</v>
      </c>
      <c r="Q787" t="s">
        <v>1336</v>
      </c>
      <c r="U787">
        <v>30</v>
      </c>
      <c r="W787" t="s">
        <v>958</v>
      </c>
      <c r="X787" t="s">
        <v>883</v>
      </c>
      <c r="Y787" t="s">
        <v>1509</v>
      </c>
      <c r="AA787" t="s">
        <v>652</v>
      </c>
      <c r="AB787">
        <v>0</v>
      </c>
      <c r="AK787" t="s">
        <v>642</v>
      </c>
      <c r="AL787" t="s">
        <v>290</v>
      </c>
    </row>
    <row r="788" spans="1:38">
      <c r="A788" s="146">
        <v>46214.207546296297</v>
      </c>
      <c r="B788" s="146">
        <v>46213</v>
      </c>
      <c r="C788">
        <v>2226596</v>
      </c>
      <c r="D788" t="s">
        <v>403</v>
      </c>
      <c r="E788" t="s">
        <v>653</v>
      </c>
      <c r="F788" t="s">
        <v>650</v>
      </c>
      <c r="G788" t="s">
        <v>233</v>
      </c>
      <c r="H788" t="s">
        <v>641</v>
      </c>
      <c r="I788" t="s">
        <v>88</v>
      </c>
      <c r="J788">
        <v>1230</v>
      </c>
      <c r="K788" s="141">
        <v>61.56</v>
      </c>
      <c r="O788" t="s">
        <v>662</v>
      </c>
      <c r="P788">
        <v>0</v>
      </c>
      <c r="Q788" t="s">
        <v>662</v>
      </c>
      <c r="U788">
        <v>21</v>
      </c>
      <c r="W788" t="s">
        <v>958</v>
      </c>
      <c r="X788" t="s">
        <v>883</v>
      </c>
      <c r="Y788" t="s">
        <v>1509</v>
      </c>
      <c r="AA788" t="s">
        <v>647</v>
      </c>
      <c r="AB788">
        <v>0</v>
      </c>
      <c r="AK788" t="s">
        <v>642</v>
      </c>
      <c r="AL788" t="s">
        <v>290</v>
      </c>
    </row>
    <row r="789" spans="1:38">
      <c r="A789" s="146">
        <v>46214.222071759257</v>
      </c>
      <c r="B789" s="146">
        <v>46213</v>
      </c>
      <c r="C789">
        <v>2223535</v>
      </c>
      <c r="D789" t="s">
        <v>400</v>
      </c>
      <c r="E789" t="s">
        <v>653</v>
      </c>
      <c r="F789" t="s">
        <v>650</v>
      </c>
      <c r="G789" t="s">
        <v>425</v>
      </c>
      <c r="H789" t="s">
        <v>641</v>
      </c>
      <c r="I789" t="s">
        <v>86</v>
      </c>
      <c r="J789">
        <v>6420</v>
      </c>
      <c r="K789" s="141">
        <v>35.309999999999995</v>
      </c>
      <c r="O789" t="s">
        <v>1473</v>
      </c>
      <c r="P789">
        <v>0</v>
      </c>
      <c r="Q789" t="s">
        <v>1473</v>
      </c>
      <c r="U789">
        <v>60</v>
      </c>
      <c r="W789" t="s">
        <v>958</v>
      </c>
      <c r="X789" t="s">
        <v>883</v>
      </c>
      <c r="Y789" t="s">
        <v>1510</v>
      </c>
      <c r="AA789" t="s">
        <v>647</v>
      </c>
      <c r="AB789">
        <v>0</v>
      </c>
      <c r="AK789" t="s">
        <v>642</v>
      </c>
      <c r="AL789" t="s">
        <v>290</v>
      </c>
    </row>
    <row r="790" spans="1:38">
      <c r="A790" s="146">
        <v>46214.222071759257</v>
      </c>
      <c r="B790" s="146">
        <v>46213</v>
      </c>
      <c r="C790">
        <v>2223535</v>
      </c>
      <c r="D790" t="s">
        <v>387</v>
      </c>
      <c r="E790" t="s">
        <v>653</v>
      </c>
      <c r="F790" t="s">
        <v>650</v>
      </c>
      <c r="G790" t="s">
        <v>673</v>
      </c>
      <c r="H790" t="s">
        <v>641</v>
      </c>
      <c r="I790" t="s">
        <v>90</v>
      </c>
      <c r="J790">
        <v>2040</v>
      </c>
      <c r="K790" s="141">
        <v>35.309999999999995</v>
      </c>
      <c r="O790" t="s">
        <v>1473</v>
      </c>
      <c r="P790">
        <v>0</v>
      </c>
      <c r="Q790" t="s">
        <v>1473</v>
      </c>
      <c r="U790">
        <v>60</v>
      </c>
      <c r="W790" t="s">
        <v>958</v>
      </c>
      <c r="X790" t="s">
        <v>883</v>
      </c>
      <c r="Y790" t="s">
        <v>1510</v>
      </c>
      <c r="AA790" t="s">
        <v>647</v>
      </c>
      <c r="AB790">
        <v>0</v>
      </c>
      <c r="AK790" t="s">
        <v>642</v>
      </c>
      <c r="AL790" t="s">
        <v>290</v>
      </c>
    </row>
    <row r="791" spans="1:38" ht="15" customHeight="1">
      <c r="A791" s="146">
        <v>46214.222071759257</v>
      </c>
      <c r="B791" s="146">
        <v>46213</v>
      </c>
      <c r="C791">
        <v>2223535</v>
      </c>
      <c r="D791" t="s">
        <v>387</v>
      </c>
      <c r="E791" t="s">
        <v>653</v>
      </c>
      <c r="F791" t="s">
        <v>654</v>
      </c>
      <c r="G791" t="s">
        <v>1146</v>
      </c>
      <c r="H791" t="s">
        <v>641</v>
      </c>
      <c r="I791" t="s">
        <v>90</v>
      </c>
      <c r="J791">
        <v>1000</v>
      </c>
      <c r="K791" s="141">
        <v>35.309999999999995</v>
      </c>
      <c r="O791" t="s">
        <v>1473</v>
      </c>
      <c r="P791">
        <v>0</v>
      </c>
      <c r="Q791" t="s">
        <v>1473</v>
      </c>
      <c r="U791">
        <v>60</v>
      </c>
      <c r="W791" t="s">
        <v>958</v>
      </c>
      <c r="X791" t="s">
        <v>883</v>
      </c>
      <c r="Y791" t="s">
        <v>1510</v>
      </c>
      <c r="AA791" t="s">
        <v>647</v>
      </c>
      <c r="AB791">
        <v>0</v>
      </c>
      <c r="AK791" t="s">
        <v>642</v>
      </c>
      <c r="AL791" t="s">
        <v>290</v>
      </c>
    </row>
    <row r="792" spans="1:38" ht="15" customHeight="1">
      <c r="A792" s="146">
        <v>46214.551932870374</v>
      </c>
      <c r="B792" s="146">
        <v>46214</v>
      </c>
      <c r="C792">
        <v>2325365</v>
      </c>
      <c r="D792" t="s">
        <v>414</v>
      </c>
      <c r="E792" t="s">
        <v>1523</v>
      </c>
      <c r="F792" t="s">
        <v>650</v>
      </c>
      <c r="G792" t="s">
        <v>466</v>
      </c>
      <c r="H792" t="s">
        <v>641</v>
      </c>
      <c r="I792" t="s">
        <v>1512</v>
      </c>
      <c r="J792">
        <v>4420</v>
      </c>
      <c r="K792" s="141">
        <v>79.117999999999995</v>
      </c>
      <c r="O792" t="s">
        <v>1473</v>
      </c>
      <c r="P792">
        <v>0</v>
      </c>
      <c r="Q792" t="s">
        <v>1473</v>
      </c>
      <c r="U792">
        <v>50</v>
      </c>
      <c r="W792" t="s">
        <v>958</v>
      </c>
      <c r="X792" t="s">
        <v>883</v>
      </c>
      <c r="Y792" t="s">
        <v>1511</v>
      </c>
      <c r="AA792" t="s">
        <v>647</v>
      </c>
      <c r="AB792">
        <v>0</v>
      </c>
      <c r="AK792" t="s">
        <v>642</v>
      </c>
      <c r="AL792" t="s">
        <v>290</v>
      </c>
    </row>
    <row r="793" spans="1:38" ht="15" customHeight="1">
      <c r="A793" s="146">
        <v>46214.558668981481</v>
      </c>
      <c r="B793" s="146">
        <v>46214</v>
      </c>
      <c r="C793">
        <v>2221908</v>
      </c>
      <c r="D793" t="s">
        <v>398</v>
      </c>
      <c r="E793" t="s">
        <v>659</v>
      </c>
      <c r="F793" t="s">
        <v>650</v>
      </c>
      <c r="G793" t="s">
        <v>1433</v>
      </c>
      <c r="H793" t="s">
        <v>641</v>
      </c>
      <c r="I793" t="s">
        <v>1515</v>
      </c>
      <c r="J793">
        <v>615</v>
      </c>
      <c r="K793" s="141">
        <v>31.734000000000002</v>
      </c>
      <c r="O793" t="s">
        <v>1513</v>
      </c>
      <c r="P793">
        <v>0</v>
      </c>
      <c r="Q793" t="s">
        <v>1513</v>
      </c>
      <c r="U793">
        <v>21</v>
      </c>
      <c r="W793" t="s">
        <v>958</v>
      </c>
      <c r="X793" t="s">
        <v>883</v>
      </c>
      <c r="Y793" t="s">
        <v>1514</v>
      </c>
      <c r="AA793" t="s">
        <v>419</v>
      </c>
      <c r="AB793">
        <v>0</v>
      </c>
      <c r="AK793" t="s">
        <v>642</v>
      </c>
      <c r="AL793" t="s">
        <v>290</v>
      </c>
    </row>
    <row r="794" spans="1:38" ht="15" customHeight="1">
      <c r="A794" s="146">
        <v>46214.558668981481</v>
      </c>
      <c r="B794" s="146">
        <v>46214</v>
      </c>
      <c r="C794">
        <v>2221908</v>
      </c>
      <c r="D794" t="s">
        <v>398</v>
      </c>
      <c r="E794" t="s">
        <v>659</v>
      </c>
      <c r="F794" t="s">
        <v>650</v>
      </c>
      <c r="G794" t="s">
        <v>430</v>
      </c>
      <c r="H794" t="s">
        <v>641</v>
      </c>
      <c r="I794" t="s">
        <v>1516</v>
      </c>
      <c r="J794">
        <v>615</v>
      </c>
      <c r="K794" s="141">
        <v>31.734000000000002</v>
      </c>
      <c r="O794" t="s">
        <v>1513</v>
      </c>
      <c r="P794">
        <v>0</v>
      </c>
      <c r="Q794" t="s">
        <v>1513</v>
      </c>
      <c r="U794">
        <v>21</v>
      </c>
      <c r="W794" t="s">
        <v>958</v>
      </c>
      <c r="X794" t="s">
        <v>883</v>
      </c>
      <c r="Y794" t="s">
        <v>1514</v>
      </c>
      <c r="AA794" t="s">
        <v>419</v>
      </c>
      <c r="AB794">
        <v>0</v>
      </c>
      <c r="AK794" t="s">
        <v>642</v>
      </c>
      <c r="AL794" t="s">
        <v>290</v>
      </c>
    </row>
    <row r="795" spans="1:38" ht="15" customHeight="1">
      <c r="A795" s="146">
        <v>46214.560277777775</v>
      </c>
      <c r="B795" s="146">
        <v>46214</v>
      </c>
      <c r="C795">
        <v>2221908</v>
      </c>
      <c r="D795" t="s">
        <v>398</v>
      </c>
      <c r="E795" t="s">
        <v>659</v>
      </c>
      <c r="F795" t="s">
        <v>650</v>
      </c>
      <c r="G795" t="s">
        <v>225</v>
      </c>
      <c r="H795" t="s">
        <v>641</v>
      </c>
      <c r="I795" t="s">
        <v>1518</v>
      </c>
      <c r="J795">
        <v>1100</v>
      </c>
      <c r="K795" s="141">
        <v>38.39</v>
      </c>
      <c r="O795" t="s">
        <v>1336</v>
      </c>
      <c r="P795">
        <v>2</v>
      </c>
      <c r="Q795" t="s">
        <v>1336</v>
      </c>
      <c r="U795">
        <v>30</v>
      </c>
      <c r="W795" t="s">
        <v>958</v>
      </c>
      <c r="X795" t="s">
        <v>883</v>
      </c>
      <c r="Y795" t="s">
        <v>1517</v>
      </c>
      <c r="AA795" t="s">
        <v>652</v>
      </c>
      <c r="AB795">
        <v>0</v>
      </c>
      <c r="AK795" t="s">
        <v>642</v>
      </c>
      <c r="AL795" t="s">
        <v>59</v>
      </c>
    </row>
    <row r="796" spans="1:38" ht="15" customHeight="1">
      <c r="A796" s="146">
        <v>46214.564143518517</v>
      </c>
      <c r="B796" s="146">
        <v>46214</v>
      </c>
      <c r="C796">
        <v>2020965</v>
      </c>
      <c r="D796" t="s">
        <v>386</v>
      </c>
      <c r="E796" t="s">
        <v>643</v>
      </c>
      <c r="F796" t="s">
        <v>650</v>
      </c>
      <c r="G796" t="s">
        <v>216</v>
      </c>
      <c r="H796" t="s">
        <v>641</v>
      </c>
      <c r="I796" t="s">
        <v>1532</v>
      </c>
      <c r="J796">
        <v>440</v>
      </c>
      <c r="K796" s="141">
        <v>22.704000000000001</v>
      </c>
      <c r="O796" t="s">
        <v>1519</v>
      </c>
      <c r="P796">
        <v>0</v>
      </c>
      <c r="Q796" t="s">
        <v>1519</v>
      </c>
      <c r="U796">
        <v>27</v>
      </c>
      <c r="W796" t="s">
        <v>958</v>
      </c>
      <c r="X796" t="s">
        <v>883</v>
      </c>
      <c r="Y796" t="s">
        <v>1520</v>
      </c>
      <c r="AA796" t="s">
        <v>419</v>
      </c>
      <c r="AB796">
        <v>0</v>
      </c>
      <c r="AK796" t="s">
        <v>642</v>
      </c>
      <c r="AL796" t="s">
        <v>290</v>
      </c>
    </row>
    <row r="797" spans="1:38" ht="15" customHeight="1">
      <c r="A797" s="146">
        <v>46214.565011574072</v>
      </c>
      <c r="B797" s="146">
        <v>46214</v>
      </c>
      <c r="C797">
        <v>2020965</v>
      </c>
      <c r="D797" t="s">
        <v>386</v>
      </c>
      <c r="E797" t="s">
        <v>643</v>
      </c>
      <c r="F797" t="s">
        <v>650</v>
      </c>
      <c r="G797" t="s">
        <v>227</v>
      </c>
      <c r="H797" t="s">
        <v>641</v>
      </c>
      <c r="I797" t="s">
        <v>1531</v>
      </c>
      <c r="J797">
        <v>4710</v>
      </c>
      <c r="K797" s="141">
        <v>84.308999999999997</v>
      </c>
      <c r="O797" t="s">
        <v>1519</v>
      </c>
      <c r="P797">
        <v>0</v>
      </c>
      <c r="Q797" t="s">
        <v>1519</v>
      </c>
      <c r="U797">
        <v>50</v>
      </c>
      <c r="W797" t="s">
        <v>958</v>
      </c>
      <c r="X797" t="s">
        <v>883</v>
      </c>
      <c r="Y797" t="s">
        <v>1521</v>
      </c>
      <c r="AA797" t="s">
        <v>419</v>
      </c>
      <c r="AB797">
        <v>0</v>
      </c>
      <c r="AK797" t="s">
        <v>642</v>
      </c>
      <c r="AL797" t="s">
        <v>290</v>
      </c>
    </row>
    <row r="798" spans="1:38" ht="15" customHeight="1">
      <c r="A798" s="146">
        <v>46214.57366898148</v>
      </c>
      <c r="B798" s="146">
        <v>46214</v>
      </c>
      <c r="C798">
        <v>2325365</v>
      </c>
      <c r="D798" t="s">
        <v>414</v>
      </c>
      <c r="E798" t="s">
        <v>659</v>
      </c>
      <c r="F798" t="s">
        <v>650</v>
      </c>
      <c r="G798" t="s">
        <v>234</v>
      </c>
      <c r="H798" t="s">
        <v>641</v>
      </c>
      <c r="I798" t="s">
        <v>1524</v>
      </c>
      <c r="J798">
        <v>930</v>
      </c>
      <c r="K798" s="141">
        <v>32.457000000000001</v>
      </c>
      <c r="O798" t="s">
        <v>1519</v>
      </c>
      <c r="P798">
        <v>0</v>
      </c>
      <c r="Q798" t="s">
        <v>1519</v>
      </c>
      <c r="U798">
        <v>30</v>
      </c>
      <c r="W798" t="s">
        <v>958</v>
      </c>
      <c r="X798" t="s">
        <v>883</v>
      </c>
      <c r="Y798" t="s">
        <v>1522</v>
      </c>
      <c r="AA798" t="s">
        <v>419</v>
      </c>
      <c r="AB798">
        <v>0</v>
      </c>
      <c r="AK798" t="s">
        <v>642</v>
      </c>
      <c r="AL798" t="s">
        <v>290</v>
      </c>
    </row>
    <row r="799" spans="1:38" ht="15" customHeight="1">
      <c r="A799" s="146">
        <v>46214.575057870374</v>
      </c>
      <c r="B799" s="146">
        <v>46214</v>
      </c>
      <c r="C799">
        <v>2228947</v>
      </c>
      <c r="D799" t="s">
        <v>416</v>
      </c>
      <c r="E799" t="s">
        <v>659</v>
      </c>
      <c r="F799" t="s">
        <v>650</v>
      </c>
      <c r="G799" t="s">
        <v>660</v>
      </c>
      <c r="H799" t="s">
        <v>641</v>
      </c>
      <c r="I799" t="s">
        <v>1526</v>
      </c>
      <c r="J799">
        <v>2330</v>
      </c>
      <c r="K799" s="141">
        <v>81.317000000000007</v>
      </c>
      <c r="O799" t="s">
        <v>1519</v>
      </c>
      <c r="P799">
        <v>0</v>
      </c>
      <c r="Q799" t="s">
        <v>1519</v>
      </c>
      <c r="U799">
        <v>42</v>
      </c>
      <c r="W799" t="s">
        <v>958</v>
      </c>
      <c r="X799" t="s">
        <v>883</v>
      </c>
      <c r="Y799" t="s">
        <v>1525</v>
      </c>
      <c r="AA799" t="s">
        <v>419</v>
      </c>
      <c r="AB799">
        <v>0</v>
      </c>
      <c r="AK799" t="s">
        <v>642</v>
      </c>
      <c r="AL799" t="s">
        <v>290</v>
      </c>
    </row>
    <row r="800" spans="1:38" ht="15" customHeight="1">
      <c r="A800" s="146">
        <v>46214.578217592592</v>
      </c>
      <c r="B800" s="146">
        <v>46214</v>
      </c>
      <c r="C800">
        <v>2325295</v>
      </c>
      <c r="D800" t="s">
        <v>411</v>
      </c>
      <c r="E800" t="s">
        <v>659</v>
      </c>
      <c r="F800" t="s">
        <v>650</v>
      </c>
      <c r="G800" t="s">
        <v>262</v>
      </c>
      <c r="H800" t="s">
        <v>641</v>
      </c>
      <c r="I800" t="s">
        <v>1528</v>
      </c>
      <c r="J800">
        <v>1020</v>
      </c>
      <c r="K800" s="141">
        <v>20.501999999999999</v>
      </c>
      <c r="O800" t="s">
        <v>1519</v>
      </c>
      <c r="P800">
        <v>0</v>
      </c>
      <c r="Q800" t="s">
        <v>1519</v>
      </c>
      <c r="U800">
        <v>40</v>
      </c>
      <c r="W800" t="s">
        <v>958</v>
      </c>
      <c r="X800" t="s">
        <v>883</v>
      </c>
      <c r="Y800" t="s">
        <v>1527</v>
      </c>
      <c r="AA800" t="s">
        <v>419</v>
      </c>
      <c r="AB800">
        <v>0</v>
      </c>
      <c r="AK800" t="s">
        <v>642</v>
      </c>
      <c r="AL800" t="s">
        <v>59</v>
      </c>
    </row>
    <row r="801" spans="1:39" ht="15" customHeight="1">
      <c r="A801" s="146">
        <v>46214.579375000001</v>
      </c>
      <c r="B801" s="146">
        <v>46214</v>
      </c>
      <c r="C801">
        <v>2325295</v>
      </c>
      <c r="D801" t="s">
        <v>411</v>
      </c>
      <c r="E801" t="s">
        <v>659</v>
      </c>
      <c r="F801" t="s">
        <v>650</v>
      </c>
      <c r="G801" t="s">
        <v>256</v>
      </c>
      <c r="H801" t="s">
        <v>641</v>
      </c>
      <c r="I801" t="s">
        <v>1530</v>
      </c>
      <c r="J801">
        <v>3690</v>
      </c>
      <c r="K801" s="141">
        <v>166.41900000000001</v>
      </c>
      <c r="O801" t="s">
        <v>1519</v>
      </c>
      <c r="P801">
        <v>0</v>
      </c>
      <c r="Q801" t="s">
        <v>1519</v>
      </c>
      <c r="U801">
        <v>27</v>
      </c>
      <c r="W801" t="s">
        <v>958</v>
      </c>
      <c r="X801" t="s">
        <v>883</v>
      </c>
      <c r="Y801" t="s">
        <v>1529</v>
      </c>
      <c r="AA801" t="s">
        <v>419</v>
      </c>
      <c r="AB801">
        <v>0</v>
      </c>
      <c r="AK801" t="s">
        <v>642</v>
      </c>
      <c r="AL801" t="s">
        <v>290</v>
      </c>
    </row>
    <row r="802" spans="1:39" ht="15" customHeight="1">
      <c r="A802" s="146">
        <v>46214.748287037037</v>
      </c>
      <c r="B802" s="146">
        <v>46214</v>
      </c>
      <c r="C802">
        <v>2325374</v>
      </c>
      <c r="D802" t="s">
        <v>415</v>
      </c>
      <c r="E802" t="s">
        <v>643</v>
      </c>
      <c r="F802" t="s">
        <v>650</v>
      </c>
      <c r="G802" t="s">
        <v>216</v>
      </c>
      <c r="H802" t="s">
        <v>641</v>
      </c>
      <c r="I802" t="s">
        <v>1535</v>
      </c>
      <c r="J802">
        <v>2230</v>
      </c>
      <c r="K802" s="141">
        <v>115.068</v>
      </c>
      <c r="O802" t="s">
        <v>1519</v>
      </c>
      <c r="P802">
        <v>0</v>
      </c>
      <c r="Q802" t="s">
        <v>1519</v>
      </c>
      <c r="R802" t="s">
        <v>1533</v>
      </c>
      <c r="U802">
        <v>27</v>
      </c>
      <c r="W802" t="s">
        <v>958</v>
      </c>
      <c r="X802" t="s">
        <v>883</v>
      </c>
      <c r="Y802" t="s">
        <v>1534</v>
      </c>
      <c r="AA802" t="s">
        <v>419</v>
      </c>
      <c r="AB802">
        <v>0</v>
      </c>
      <c r="AK802" t="s">
        <v>642</v>
      </c>
      <c r="AL802" t="s">
        <v>290</v>
      </c>
    </row>
    <row r="803" spans="1:39" ht="15" customHeight="1">
      <c r="A803" s="146">
        <v>46214.749363425923</v>
      </c>
      <c r="B803" s="146">
        <v>46214</v>
      </c>
      <c r="C803">
        <v>2325374</v>
      </c>
      <c r="D803" t="s">
        <v>415</v>
      </c>
      <c r="E803" t="s">
        <v>643</v>
      </c>
      <c r="F803" t="s">
        <v>650</v>
      </c>
      <c r="G803" t="s">
        <v>245</v>
      </c>
      <c r="H803" t="s">
        <v>641</v>
      </c>
      <c r="I803" t="s">
        <v>1537</v>
      </c>
      <c r="J803">
        <v>800</v>
      </c>
      <c r="K803" s="141">
        <v>41.28</v>
      </c>
      <c r="O803" t="s">
        <v>1519</v>
      </c>
      <c r="P803">
        <v>0</v>
      </c>
      <c r="Q803" t="s">
        <v>1519</v>
      </c>
      <c r="R803" t="s">
        <v>1533</v>
      </c>
      <c r="U803">
        <v>27</v>
      </c>
      <c r="W803" t="s">
        <v>958</v>
      </c>
      <c r="X803" t="s">
        <v>883</v>
      </c>
      <c r="Y803" t="s">
        <v>1536</v>
      </c>
      <c r="AA803" t="s">
        <v>419</v>
      </c>
      <c r="AB803">
        <v>0</v>
      </c>
      <c r="AK803" t="s">
        <v>642</v>
      </c>
      <c r="AL803" t="s">
        <v>290</v>
      </c>
    </row>
    <row r="804" spans="1:39" ht="15" customHeight="1">
      <c r="A804" s="146">
        <v>46214.749363425923</v>
      </c>
      <c r="B804" s="146">
        <v>46214</v>
      </c>
      <c r="C804">
        <v>2325301</v>
      </c>
      <c r="D804" t="s">
        <v>412</v>
      </c>
      <c r="E804" t="s">
        <v>643</v>
      </c>
      <c r="F804" t="s">
        <v>650</v>
      </c>
      <c r="G804" t="s">
        <v>1538</v>
      </c>
      <c r="H804" t="s">
        <v>641</v>
      </c>
      <c r="I804" t="s">
        <v>1539</v>
      </c>
      <c r="J804">
        <v>2300</v>
      </c>
      <c r="K804" s="141">
        <v>80</v>
      </c>
      <c r="O804" t="s">
        <v>1519</v>
      </c>
      <c r="P804">
        <v>0</v>
      </c>
      <c r="Q804" t="s">
        <v>1519</v>
      </c>
      <c r="U804">
        <v>30</v>
      </c>
      <c r="W804" t="s">
        <v>958</v>
      </c>
      <c r="X804" t="s">
        <v>883</v>
      </c>
      <c r="Y804" t="s">
        <v>1522</v>
      </c>
      <c r="AA804" t="s">
        <v>419</v>
      </c>
      <c r="AB804">
        <v>0</v>
      </c>
      <c r="AK804" t="s">
        <v>642</v>
      </c>
      <c r="AL804" t="s">
        <v>290</v>
      </c>
    </row>
    <row r="805" spans="1:39" ht="15" customHeight="1">
      <c r="A805" s="146">
        <v>46214.894641203704</v>
      </c>
      <c r="B805" s="146">
        <v>46214</v>
      </c>
      <c r="C805">
        <v>2222785</v>
      </c>
      <c r="D805" t="s">
        <v>399</v>
      </c>
      <c r="E805" t="s">
        <v>643</v>
      </c>
      <c r="F805" t="s">
        <v>650</v>
      </c>
      <c r="G805" t="s">
        <v>1540</v>
      </c>
      <c r="H805" t="s">
        <v>641</v>
      </c>
      <c r="I805" t="s">
        <v>1542</v>
      </c>
      <c r="J805">
        <v>3210</v>
      </c>
      <c r="K805" s="141">
        <v>27.927</v>
      </c>
      <c r="N805">
        <v>27.927</v>
      </c>
      <c r="O805" t="s">
        <v>1519</v>
      </c>
      <c r="P805">
        <v>0</v>
      </c>
      <c r="Q805" t="s">
        <v>1519</v>
      </c>
      <c r="S805">
        <v>0</v>
      </c>
      <c r="T805">
        <v>0.9</v>
      </c>
      <c r="U805">
        <v>60</v>
      </c>
      <c r="V805">
        <v>0.9907407407407407</v>
      </c>
      <c r="W805" t="s">
        <v>958</v>
      </c>
      <c r="X805" t="s">
        <v>883</v>
      </c>
      <c r="Y805" t="s">
        <v>1541</v>
      </c>
      <c r="AA805" t="s">
        <v>419</v>
      </c>
      <c r="AB805">
        <v>0</v>
      </c>
      <c r="AI805">
        <v>1</v>
      </c>
      <c r="AJ805">
        <v>3210</v>
      </c>
      <c r="AK805" t="s">
        <v>642</v>
      </c>
      <c r="AL805" t="s">
        <v>290</v>
      </c>
      <c r="AM805">
        <v>2</v>
      </c>
    </row>
    <row r="806" spans="1:39" ht="15" customHeight="1">
      <c r="A806" s="146">
        <v>46214.905405092592</v>
      </c>
      <c r="B806" s="146">
        <v>46214</v>
      </c>
      <c r="C806">
        <v>2325374</v>
      </c>
      <c r="D806" t="s">
        <v>415</v>
      </c>
      <c r="E806" t="s">
        <v>643</v>
      </c>
      <c r="F806" t="s">
        <v>650</v>
      </c>
      <c r="G806" t="s">
        <v>675</v>
      </c>
      <c r="H806" t="s">
        <v>641</v>
      </c>
      <c r="I806" t="s">
        <v>1545</v>
      </c>
      <c r="J806">
        <v>1510</v>
      </c>
      <c r="K806" s="141">
        <v>27.029</v>
      </c>
      <c r="O806" t="s">
        <v>997</v>
      </c>
      <c r="P806">
        <v>0</v>
      </c>
      <c r="Q806" t="s">
        <v>997</v>
      </c>
      <c r="R806" t="s">
        <v>1543</v>
      </c>
      <c r="U806">
        <v>50</v>
      </c>
      <c r="W806" t="s">
        <v>958</v>
      </c>
      <c r="X806" t="s">
        <v>883</v>
      </c>
      <c r="Y806" t="s">
        <v>1544</v>
      </c>
      <c r="AA806" t="s">
        <v>647</v>
      </c>
      <c r="AB806">
        <v>0</v>
      </c>
      <c r="AK806" t="s">
        <v>642</v>
      </c>
      <c r="AL806" t="s">
        <v>290</v>
      </c>
    </row>
    <row r="807" spans="1:39" ht="15" customHeight="1">
      <c r="A807" s="146">
        <v>46215.180405092593</v>
      </c>
      <c r="B807" s="146">
        <v>46214</v>
      </c>
      <c r="C807">
        <v>2224288</v>
      </c>
      <c r="D807" t="s">
        <v>401</v>
      </c>
      <c r="E807" t="s">
        <v>653</v>
      </c>
      <c r="F807" t="s">
        <v>650</v>
      </c>
      <c r="G807" t="s">
        <v>466</v>
      </c>
      <c r="H807" t="s">
        <v>641</v>
      </c>
      <c r="I807" t="s">
        <v>98</v>
      </c>
      <c r="J807">
        <v>2210</v>
      </c>
      <c r="K807" s="141">
        <v>39.558999999999997</v>
      </c>
      <c r="O807" t="s">
        <v>997</v>
      </c>
      <c r="P807">
        <v>0</v>
      </c>
      <c r="Q807" t="s">
        <v>997</v>
      </c>
      <c r="U807">
        <v>50</v>
      </c>
      <c r="W807" t="s">
        <v>958</v>
      </c>
      <c r="X807" t="s">
        <v>883</v>
      </c>
      <c r="Y807" t="s">
        <v>1546</v>
      </c>
      <c r="AA807" t="s">
        <v>647</v>
      </c>
      <c r="AB807">
        <v>0</v>
      </c>
      <c r="AK807" t="s">
        <v>642</v>
      </c>
      <c r="AL807" t="s">
        <v>290</v>
      </c>
    </row>
    <row r="808" spans="1:39" ht="15" customHeight="1">
      <c r="A808" s="146">
        <v>46215.180405092593</v>
      </c>
      <c r="B808" s="146">
        <v>46214</v>
      </c>
      <c r="C808">
        <v>2226596</v>
      </c>
      <c r="D808" t="s">
        <v>1465</v>
      </c>
      <c r="E808" t="s">
        <v>653</v>
      </c>
      <c r="F808" t="s">
        <v>650</v>
      </c>
      <c r="G808" t="s">
        <v>254</v>
      </c>
      <c r="H808" t="s">
        <v>641</v>
      </c>
      <c r="I808" t="s">
        <v>1547</v>
      </c>
      <c r="J808">
        <v>300</v>
      </c>
      <c r="K808" s="141">
        <v>15.12</v>
      </c>
      <c r="O808" t="s">
        <v>1519</v>
      </c>
      <c r="P808">
        <v>0</v>
      </c>
      <c r="Q808" t="s">
        <v>1519</v>
      </c>
      <c r="R808" t="s">
        <v>1548</v>
      </c>
      <c r="U808">
        <v>21</v>
      </c>
      <c r="W808" t="s">
        <v>958</v>
      </c>
      <c r="X808" t="s">
        <v>883</v>
      </c>
      <c r="Y808" t="s">
        <v>1546</v>
      </c>
      <c r="AA808" t="s">
        <v>419</v>
      </c>
      <c r="AB808">
        <v>0</v>
      </c>
      <c r="AK808" t="s">
        <v>642</v>
      </c>
      <c r="AL808" t="s">
        <v>290</v>
      </c>
    </row>
    <row r="809" spans="1:39" ht="15" customHeight="1">
      <c r="A809" s="146">
        <v>46215.180405092593</v>
      </c>
      <c r="B809" s="146">
        <v>46216</v>
      </c>
      <c r="C809">
        <v>2243991</v>
      </c>
      <c r="D809" t="s">
        <v>410</v>
      </c>
      <c r="E809" t="s">
        <v>659</v>
      </c>
      <c r="F809" t="s">
        <v>650</v>
      </c>
      <c r="G809" t="s">
        <v>225</v>
      </c>
      <c r="H809" t="s">
        <v>641</v>
      </c>
      <c r="I809" t="s">
        <v>1549</v>
      </c>
      <c r="J809">
        <v>1800</v>
      </c>
      <c r="K809" s="141">
        <v>38.39</v>
      </c>
      <c r="O809" t="s">
        <v>1336</v>
      </c>
      <c r="P809">
        <v>2</v>
      </c>
      <c r="Q809" t="s">
        <v>1336</v>
      </c>
      <c r="R809" t="s">
        <v>1550</v>
      </c>
      <c r="U809">
        <v>30</v>
      </c>
      <c r="W809" t="s">
        <v>958</v>
      </c>
      <c r="X809" t="s">
        <v>883</v>
      </c>
      <c r="Y809" t="s">
        <v>1517</v>
      </c>
      <c r="AA809" t="s">
        <v>652</v>
      </c>
      <c r="AB809">
        <v>0</v>
      </c>
      <c r="AK809" t="s">
        <v>642</v>
      </c>
      <c r="AL809" t="s">
        <v>59</v>
      </c>
    </row>
    <row r="810" spans="1:39">
      <c r="A810" s="146">
        <v>46216.561944444446</v>
      </c>
      <c r="B810" s="146">
        <v>46216</v>
      </c>
      <c r="C810">
        <v>2325374</v>
      </c>
      <c r="D810" t="s">
        <v>415</v>
      </c>
      <c r="E810" t="s">
        <v>659</v>
      </c>
      <c r="F810" t="s">
        <v>650</v>
      </c>
      <c r="G810" t="s">
        <v>260</v>
      </c>
      <c r="H810" t="s">
        <v>641</v>
      </c>
      <c r="I810" t="s">
        <v>1554</v>
      </c>
      <c r="J810">
        <v>1230</v>
      </c>
      <c r="K810" s="141">
        <v>63.468000000000004</v>
      </c>
      <c r="O810" t="s">
        <v>1551</v>
      </c>
      <c r="P810">
        <v>0</v>
      </c>
      <c r="Q810" t="s">
        <v>1551</v>
      </c>
      <c r="R810" t="s">
        <v>1552</v>
      </c>
      <c r="U810">
        <v>27</v>
      </c>
      <c r="W810" t="s">
        <v>958</v>
      </c>
      <c r="X810" t="s">
        <v>883</v>
      </c>
      <c r="Y810" t="s">
        <v>1553</v>
      </c>
      <c r="AA810" t="s">
        <v>419</v>
      </c>
      <c r="AB810">
        <v>0</v>
      </c>
      <c r="AK810" t="s">
        <v>642</v>
      </c>
      <c r="AL810" t="s">
        <v>290</v>
      </c>
    </row>
    <row r="811" spans="1:39">
      <c r="A811" s="146">
        <v>46216.572835648149</v>
      </c>
      <c r="B811" s="146">
        <v>46216</v>
      </c>
      <c r="C811">
        <v>2021742</v>
      </c>
      <c r="D811" t="s">
        <v>391</v>
      </c>
      <c r="E811" t="s">
        <v>659</v>
      </c>
      <c r="F811" t="s">
        <v>650</v>
      </c>
      <c r="G811" t="s">
        <v>229</v>
      </c>
      <c r="H811" t="s">
        <v>641</v>
      </c>
      <c r="I811" t="s">
        <v>1556</v>
      </c>
      <c r="J811">
        <v>1020</v>
      </c>
      <c r="K811" s="141">
        <v>72.929999999999993</v>
      </c>
      <c r="O811" t="s">
        <v>1551</v>
      </c>
      <c r="P811">
        <v>0</v>
      </c>
      <c r="Q811" t="s">
        <v>1551</v>
      </c>
      <c r="U811">
        <v>17</v>
      </c>
      <c r="W811" t="s">
        <v>958</v>
      </c>
      <c r="X811" t="s">
        <v>883</v>
      </c>
      <c r="Y811" t="s">
        <v>1555</v>
      </c>
      <c r="AA811" t="s">
        <v>419</v>
      </c>
      <c r="AB811">
        <v>0</v>
      </c>
      <c r="AK811" t="s">
        <v>642</v>
      </c>
      <c r="AL811" t="s">
        <v>290</v>
      </c>
    </row>
    <row r="812" spans="1:39">
      <c r="A812" s="146">
        <v>46216.883263888885</v>
      </c>
      <c r="B812" s="146">
        <v>46216</v>
      </c>
      <c r="C812">
        <v>2222332</v>
      </c>
      <c r="D812" t="s">
        <v>406</v>
      </c>
      <c r="E812" t="s">
        <v>643</v>
      </c>
      <c r="F812" t="s">
        <v>650</v>
      </c>
      <c r="G812" t="s">
        <v>250</v>
      </c>
      <c r="H812" t="s">
        <v>641</v>
      </c>
      <c r="I812" t="s">
        <v>99</v>
      </c>
      <c r="J812">
        <v>960</v>
      </c>
      <c r="K812" s="141">
        <v>133.82399999999998</v>
      </c>
      <c r="O812" t="s">
        <v>1551</v>
      </c>
      <c r="P812">
        <v>0</v>
      </c>
      <c r="Q812" t="s">
        <v>1551</v>
      </c>
      <c r="U812">
        <v>10</v>
      </c>
      <c r="W812" t="s">
        <v>958</v>
      </c>
      <c r="X812" t="s">
        <v>883</v>
      </c>
      <c r="Y812" t="s">
        <v>1557</v>
      </c>
      <c r="AA812" t="s">
        <v>419</v>
      </c>
      <c r="AB812">
        <v>0</v>
      </c>
      <c r="AK812" t="s">
        <v>642</v>
      </c>
      <c r="AL812" t="s">
        <v>290</v>
      </c>
    </row>
    <row r="813" spans="1:39">
      <c r="A813" s="146">
        <v>46216.884571759256</v>
      </c>
      <c r="B813" s="146">
        <v>46216</v>
      </c>
      <c r="C813">
        <v>2222332</v>
      </c>
      <c r="D813" t="s">
        <v>406</v>
      </c>
      <c r="E813" t="s">
        <v>643</v>
      </c>
      <c r="F813" t="s">
        <v>650</v>
      </c>
      <c r="G813" t="s">
        <v>481</v>
      </c>
      <c r="H813" t="s">
        <v>641</v>
      </c>
      <c r="I813" t="s">
        <v>101</v>
      </c>
      <c r="J813">
        <v>620</v>
      </c>
      <c r="K813" s="141">
        <v>49.723999999999997</v>
      </c>
      <c r="O813" t="s">
        <v>1551</v>
      </c>
      <c r="P813">
        <v>0</v>
      </c>
      <c r="Q813" t="s">
        <v>1551</v>
      </c>
      <c r="U813">
        <v>13.5</v>
      </c>
      <c r="W813" t="s">
        <v>958</v>
      </c>
      <c r="X813" t="s">
        <v>883</v>
      </c>
      <c r="Y813" t="s">
        <v>1558</v>
      </c>
      <c r="AA813" t="s">
        <v>419</v>
      </c>
      <c r="AB813">
        <v>0</v>
      </c>
      <c r="AK813" t="s">
        <v>642</v>
      </c>
      <c r="AL813" t="s">
        <v>290</v>
      </c>
    </row>
    <row r="814" spans="1:39">
      <c r="A814" s="146">
        <v>46216.888854166667</v>
      </c>
      <c r="B814" s="146">
        <v>46216</v>
      </c>
      <c r="C814">
        <v>2020390</v>
      </c>
      <c r="D814" t="s">
        <v>382</v>
      </c>
      <c r="E814" t="s">
        <v>643</v>
      </c>
      <c r="F814" t="s">
        <v>650</v>
      </c>
      <c r="G814" t="s">
        <v>222</v>
      </c>
      <c r="H814" t="s">
        <v>641</v>
      </c>
      <c r="I814" t="s">
        <v>98</v>
      </c>
      <c r="J814">
        <v>2210</v>
      </c>
      <c r="K814" s="141">
        <v>39.558999999999997</v>
      </c>
      <c r="O814" t="s">
        <v>1551</v>
      </c>
      <c r="P814">
        <v>0</v>
      </c>
      <c r="Q814" t="s">
        <v>1551</v>
      </c>
      <c r="U814">
        <v>50</v>
      </c>
      <c r="W814" t="s">
        <v>958</v>
      </c>
      <c r="X814" t="s">
        <v>883</v>
      </c>
      <c r="Y814" t="s">
        <v>1559</v>
      </c>
      <c r="AA814" t="s">
        <v>419</v>
      </c>
      <c r="AB814">
        <v>0</v>
      </c>
      <c r="AK814" t="s">
        <v>642</v>
      </c>
      <c r="AL814" t="s">
        <v>290</v>
      </c>
    </row>
    <row r="815" spans="1:39">
      <c r="A815" s="146">
        <v>46216.892557870371</v>
      </c>
      <c r="B815" s="146">
        <v>46216</v>
      </c>
      <c r="C815">
        <v>2020390</v>
      </c>
      <c r="D815" t="s">
        <v>382</v>
      </c>
      <c r="E815" t="s">
        <v>643</v>
      </c>
      <c r="F815" t="s">
        <v>650</v>
      </c>
      <c r="G815" t="s">
        <v>232</v>
      </c>
      <c r="H815" t="s">
        <v>641</v>
      </c>
      <c r="I815" t="s">
        <v>82</v>
      </c>
      <c r="J815">
        <v>930</v>
      </c>
      <c r="K815" s="141">
        <v>32.457000000000001</v>
      </c>
      <c r="O815" t="s">
        <v>1551</v>
      </c>
      <c r="P815">
        <v>0</v>
      </c>
      <c r="Q815" t="s">
        <v>1551</v>
      </c>
      <c r="U815">
        <v>30</v>
      </c>
      <c r="W815" t="s">
        <v>958</v>
      </c>
      <c r="X815" t="s">
        <v>883</v>
      </c>
      <c r="Y815" t="s">
        <v>1560</v>
      </c>
      <c r="AA815" t="s">
        <v>419</v>
      </c>
      <c r="AB815">
        <v>0</v>
      </c>
      <c r="AK815" t="s">
        <v>642</v>
      </c>
      <c r="AL815" t="s">
        <v>290</v>
      </c>
    </row>
    <row r="816" spans="1:39">
      <c r="A816" s="146">
        <v>46216.892557870371</v>
      </c>
      <c r="B816" s="146">
        <v>46216</v>
      </c>
      <c r="C816">
        <v>2226596</v>
      </c>
      <c r="D816" t="s">
        <v>403</v>
      </c>
      <c r="E816" t="s">
        <v>643</v>
      </c>
      <c r="F816" t="s">
        <v>650</v>
      </c>
      <c r="G816" t="s">
        <v>225</v>
      </c>
      <c r="H816" t="s">
        <v>641</v>
      </c>
      <c r="I816" t="s">
        <v>89</v>
      </c>
      <c r="J816">
        <v>930</v>
      </c>
      <c r="K816" s="141">
        <v>31.75</v>
      </c>
      <c r="O816" t="s">
        <v>1551</v>
      </c>
      <c r="P816">
        <v>0</v>
      </c>
      <c r="Q816" t="s">
        <v>1551</v>
      </c>
      <c r="U816">
        <v>30</v>
      </c>
      <c r="W816" t="s">
        <v>958</v>
      </c>
      <c r="X816" t="s">
        <v>883</v>
      </c>
      <c r="Y816" t="s">
        <v>1560</v>
      </c>
      <c r="AA816" t="s">
        <v>419</v>
      </c>
      <c r="AB816">
        <v>0</v>
      </c>
      <c r="AK816" t="s">
        <v>642</v>
      </c>
      <c r="AL816" t="s">
        <v>290</v>
      </c>
    </row>
    <row r="817" spans="1:39">
      <c r="A817" s="146">
        <v>46216.892557870371</v>
      </c>
      <c r="B817" s="146">
        <v>46216</v>
      </c>
      <c r="C817">
        <v>2226596</v>
      </c>
      <c r="D817" t="s">
        <v>403</v>
      </c>
      <c r="E817" t="s">
        <v>643</v>
      </c>
      <c r="F817" t="s">
        <v>650</v>
      </c>
      <c r="G817" t="s">
        <v>228</v>
      </c>
      <c r="H817" t="s">
        <v>641</v>
      </c>
      <c r="I817" t="s">
        <v>88</v>
      </c>
      <c r="J817">
        <v>615</v>
      </c>
      <c r="K817" s="141">
        <v>30.72</v>
      </c>
      <c r="O817" t="s">
        <v>1551</v>
      </c>
      <c r="P817">
        <v>0</v>
      </c>
      <c r="Q817" t="s">
        <v>1551</v>
      </c>
      <c r="U817">
        <v>21</v>
      </c>
      <c r="W817" t="s">
        <v>958</v>
      </c>
      <c r="X817" t="s">
        <v>883</v>
      </c>
      <c r="Y817" t="s">
        <v>1560</v>
      </c>
      <c r="AA817" t="s">
        <v>419</v>
      </c>
      <c r="AB817">
        <v>0</v>
      </c>
      <c r="AK817" t="s">
        <v>642</v>
      </c>
      <c r="AL817" t="s">
        <v>290</v>
      </c>
    </row>
    <row r="818" spans="1:39">
      <c r="A818" s="146">
        <v>46216.898460648146</v>
      </c>
      <c r="B818" s="146">
        <v>46216</v>
      </c>
      <c r="C818">
        <v>2223535</v>
      </c>
      <c r="D818" t="s">
        <v>400</v>
      </c>
      <c r="E818" t="s">
        <v>643</v>
      </c>
      <c r="F818" t="s">
        <v>650</v>
      </c>
      <c r="G818" t="s">
        <v>229</v>
      </c>
      <c r="H818" t="s">
        <v>641</v>
      </c>
      <c r="I818" t="s">
        <v>1562</v>
      </c>
      <c r="J818">
        <v>2040</v>
      </c>
      <c r="K818" s="141">
        <v>145.85999999999999</v>
      </c>
      <c r="O818" t="s">
        <v>1551</v>
      </c>
      <c r="P818">
        <v>0</v>
      </c>
      <c r="Q818" t="s">
        <v>1551</v>
      </c>
      <c r="U818">
        <v>17</v>
      </c>
      <c r="W818" t="s">
        <v>958</v>
      </c>
      <c r="X818" t="s">
        <v>883</v>
      </c>
      <c r="Y818" t="s">
        <v>1561</v>
      </c>
      <c r="AA818" t="s">
        <v>419</v>
      </c>
      <c r="AB818">
        <v>0</v>
      </c>
      <c r="AK818" t="s">
        <v>642</v>
      </c>
      <c r="AL818" t="s">
        <v>290</v>
      </c>
    </row>
    <row r="819" spans="1:39">
      <c r="A819" s="146">
        <v>46216.900925925926</v>
      </c>
      <c r="B819" s="146">
        <v>46216</v>
      </c>
      <c r="C819">
        <v>2224288</v>
      </c>
      <c r="D819" t="s">
        <v>401</v>
      </c>
      <c r="E819" t="s">
        <v>643</v>
      </c>
      <c r="F819" t="s">
        <v>650</v>
      </c>
      <c r="G819" t="s">
        <v>223</v>
      </c>
      <c r="H819" t="s">
        <v>641</v>
      </c>
      <c r="I819" t="s">
        <v>94</v>
      </c>
      <c r="J819">
        <v>2750</v>
      </c>
      <c r="K819" s="141">
        <v>95.974999999999994</v>
      </c>
      <c r="O819" t="s">
        <v>1551</v>
      </c>
      <c r="P819">
        <v>0</v>
      </c>
      <c r="Q819" t="s">
        <v>1551</v>
      </c>
      <c r="U819">
        <v>42</v>
      </c>
      <c r="W819" t="s">
        <v>958</v>
      </c>
      <c r="X819" t="s">
        <v>883</v>
      </c>
      <c r="Y819" t="s">
        <v>1563</v>
      </c>
      <c r="AA819" t="s">
        <v>419</v>
      </c>
      <c r="AB819">
        <v>0</v>
      </c>
      <c r="AK819" t="s">
        <v>642</v>
      </c>
      <c r="AL819" t="s">
        <v>290</v>
      </c>
    </row>
    <row r="820" spans="1:39">
      <c r="A820" s="146">
        <v>46216.902673611112</v>
      </c>
      <c r="B820" s="146">
        <v>46216</v>
      </c>
      <c r="C820">
        <v>2224288</v>
      </c>
      <c r="D820" t="s">
        <v>401</v>
      </c>
      <c r="E820" t="s">
        <v>643</v>
      </c>
      <c r="F820" t="s">
        <v>650</v>
      </c>
      <c r="G820" t="s">
        <v>425</v>
      </c>
      <c r="H820" t="s">
        <v>641</v>
      </c>
      <c r="I820" t="s">
        <v>87</v>
      </c>
      <c r="J820">
        <v>3210</v>
      </c>
      <c r="K820" s="141">
        <v>17.654999999999998</v>
      </c>
      <c r="O820" t="s">
        <v>1551</v>
      </c>
      <c r="P820">
        <v>0</v>
      </c>
      <c r="Q820" t="s">
        <v>1551</v>
      </c>
      <c r="U820">
        <v>70</v>
      </c>
      <c r="W820" t="s">
        <v>958</v>
      </c>
      <c r="X820" t="s">
        <v>883</v>
      </c>
      <c r="Y820" t="s">
        <v>1564</v>
      </c>
      <c r="AA820" t="s">
        <v>419</v>
      </c>
      <c r="AB820">
        <v>0</v>
      </c>
      <c r="AK820" t="s">
        <v>642</v>
      </c>
      <c r="AL820" t="s">
        <v>290</v>
      </c>
    </row>
    <row r="821" spans="1:39">
      <c r="A821" s="146">
        <v>46217.198807870373</v>
      </c>
      <c r="B821" s="146">
        <v>46216</v>
      </c>
      <c r="C821">
        <v>2325295</v>
      </c>
      <c r="D821" t="s">
        <v>411</v>
      </c>
      <c r="E821" t="s">
        <v>653</v>
      </c>
      <c r="F821" t="s">
        <v>650</v>
      </c>
      <c r="G821" t="s">
        <v>673</v>
      </c>
      <c r="H821" t="s">
        <v>641</v>
      </c>
      <c r="I821" t="s">
        <v>1566</v>
      </c>
      <c r="J821">
        <v>3060</v>
      </c>
      <c r="K821" s="141">
        <v>61.506</v>
      </c>
      <c r="O821" t="s">
        <v>1551</v>
      </c>
      <c r="P821">
        <v>0</v>
      </c>
      <c r="Q821" t="s">
        <v>1551</v>
      </c>
      <c r="U821">
        <v>40</v>
      </c>
      <c r="W821" t="s">
        <v>958</v>
      </c>
      <c r="X821" t="s">
        <v>883</v>
      </c>
      <c r="Y821" t="s">
        <v>1565</v>
      </c>
      <c r="AA821" t="s">
        <v>419</v>
      </c>
      <c r="AB821">
        <v>0</v>
      </c>
      <c r="AK821" t="s">
        <v>642</v>
      </c>
      <c r="AL821" t="s">
        <v>290</v>
      </c>
    </row>
    <row r="822" spans="1:39" ht="15" customHeight="1">
      <c r="A822" s="146">
        <v>46217.198807870373</v>
      </c>
      <c r="B822" s="146">
        <v>46216</v>
      </c>
      <c r="C822">
        <v>2020965</v>
      </c>
      <c r="D822" t="s">
        <v>386</v>
      </c>
      <c r="E822" t="s">
        <v>653</v>
      </c>
      <c r="F822" t="s">
        <v>650</v>
      </c>
      <c r="G822" t="s">
        <v>216</v>
      </c>
      <c r="H822" t="s">
        <v>641</v>
      </c>
      <c r="I822" t="s">
        <v>1567</v>
      </c>
      <c r="J822">
        <v>1230</v>
      </c>
      <c r="K822" s="141">
        <v>63.468000000000004</v>
      </c>
      <c r="O822" t="s">
        <v>1519</v>
      </c>
      <c r="P822">
        <v>0</v>
      </c>
      <c r="Q822" t="s">
        <v>1519</v>
      </c>
      <c r="R822" t="s">
        <v>1533</v>
      </c>
      <c r="U822">
        <v>27</v>
      </c>
      <c r="W822" t="s">
        <v>958</v>
      </c>
      <c r="X822" t="s">
        <v>883</v>
      </c>
      <c r="Y822" t="s">
        <v>1534</v>
      </c>
      <c r="AA822" t="s">
        <v>419</v>
      </c>
      <c r="AB822">
        <v>0</v>
      </c>
      <c r="AK822" t="s">
        <v>642</v>
      </c>
      <c r="AL822" t="s">
        <v>290</v>
      </c>
    </row>
    <row r="823" spans="1:39">
      <c r="A823" s="146">
        <v>46217.210625</v>
      </c>
      <c r="B823" s="146">
        <v>46216</v>
      </c>
      <c r="C823">
        <v>2325310</v>
      </c>
      <c r="D823" t="s">
        <v>413</v>
      </c>
      <c r="E823" t="s">
        <v>653</v>
      </c>
      <c r="F823" t="s">
        <v>650</v>
      </c>
      <c r="G823" t="s">
        <v>250</v>
      </c>
      <c r="H823" t="s">
        <v>641</v>
      </c>
      <c r="I823" t="s">
        <v>1569</v>
      </c>
      <c r="J823">
        <v>840</v>
      </c>
      <c r="K823" s="141">
        <v>117.096</v>
      </c>
      <c r="O823" t="s">
        <v>1551</v>
      </c>
      <c r="P823">
        <v>0</v>
      </c>
      <c r="Q823" t="s">
        <v>1551</v>
      </c>
      <c r="U823">
        <v>10</v>
      </c>
      <c r="W823" t="s">
        <v>958</v>
      </c>
      <c r="X823" t="s">
        <v>883</v>
      </c>
      <c r="Y823" t="s">
        <v>1568</v>
      </c>
      <c r="AA823" t="s">
        <v>419</v>
      </c>
      <c r="AB823">
        <v>0</v>
      </c>
      <c r="AK823" t="s">
        <v>642</v>
      </c>
      <c r="AL823" t="s">
        <v>290</v>
      </c>
    </row>
    <row r="824" spans="1:39">
      <c r="A824" s="146">
        <v>46217.223912037036</v>
      </c>
      <c r="B824" s="146">
        <v>46216</v>
      </c>
      <c r="C824">
        <v>2022158</v>
      </c>
      <c r="D824" t="s">
        <v>394</v>
      </c>
      <c r="E824" t="s">
        <v>653</v>
      </c>
      <c r="F824" t="s">
        <v>654</v>
      </c>
      <c r="G824" t="s">
        <v>234</v>
      </c>
      <c r="H824" t="s">
        <v>641</v>
      </c>
      <c r="I824" t="s">
        <v>82</v>
      </c>
      <c r="J824">
        <v>1860</v>
      </c>
      <c r="K824" s="141">
        <v>64.914000000000001</v>
      </c>
      <c r="L824">
        <v>0</v>
      </c>
      <c r="N824">
        <v>64.914000000000001</v>
      </c>
      <c r="O824" t="s">
        <v>1551</v>
      </c>
      <c r="P824">
        <v>0</v>
      </c>
      <c r="Q824" t="s">
        <v>1551</v>
      </c>
      <c r="S824">
        <v>0</v>
      </c>
      <c r="T824">
        <v>1</v>
      </c>
      <c r="U824">
        <v>30</v>
      </c>
      <c r="V824">
        <v>1.0333333333333334</v>
      </c>
      <c r="W824" t="s">
        <v>958</v>
      </c>
      <c r="X824" t="s">
        <v>883</v>
      </c>
      <c r="Y824" t="s">
        <v>1570</v>
      </c>
      <c r="AA824" t="s">
        <v>419</v>
      </c>
      <c r="AB824">
        <v>0</v>
      </c>
      <c r="AI824">
        <v>2</v>
      </c>
      <c r="AJ824">
        <v>1860</v>
      </c>
      <c r="AK824" t="s">
        <v>642</v>
      </c>
      <c r="AL824" t="s">
        <v>290</v>
      </c>
      <c r="AM824">
        <v>3</v>
      </c>
    </row>
    <row r="825" spans="1:39">
      <c r="A825" s="146">
        <v>46217.223912037036</v>
      </c>
      <c r="B825" s="146">
        <v>46216</v>
      </c>
      <c r="C825">
        <v>2022158</v>
      </c>
      <c r="D825" t="s">
        <v>394</v>
      </c>
      <c r="E825" t="s">
        <v>653</v>
      </c>
      <c r="F825" t="s">
        <v>650</v>
      </c>
      <c r="G825" t="s">
        <v>234</v>
      </c>
      <c r="H825" t="s">
        <v>641</v>
      </c>
      <c r="I825" t="s">
        <v>82</v>
      </c>
      <c r="K825" s="141">
        <v>0</v>
      </c>
      <c r="O825" t="s">
        <v>1551</v>
      </c>
      <c r="P825">
        <v>0</v>
      </c>
      <c r="Q825" t="s">
        <v>1551</v>
      </c>
      <c r="U825">
        <v>30</v>
      </c>
      <c r="W825" t="s">
        <v>958</v>
      </c>
      <c r="X825" t="s">
        <v>883</v>
      </c>
      <c r="Y825" t="s">
        <v>1570</v>
      </c>
      <c r="AA825" t="s">
        <v>419</v>
      </c>
      <c r="AB825">
        <v>0</v>
      </c>
      <c r="AK825" t="s">
        <v>642</v>
      </c>
      <c r="AL825" t="s">
        <v>290</v>
      </c>
    </row>
    <row r="826" spans="1:39">
      <c r="A826" s="146">
        <v>46217.224363425928</v>
      </c>
      <c r="B826" s="146">
        <v>46216</v>
      </c>
      <c r="C826">
        <v>2022158</v>
      </c>
      <c r="D826" t="s">
        <v>394</v>
      </c>
      <c r="E826" t="s">
        <v>653</v>
      </c>
      <c r="F826" t="s">
        <v>650</v>
      </c>
      <c r="G826" t="s">
        <v>232</v>
      </c>
      <c r="H826" t="s">
        <v>641</v>
      </c>
      <c r="I826" t="s">
        <v>1573</v>
      </c>
      <c r="J826">
        <v>930</v>
      </c>
      <c r="K826" s="141">
        <v>32.457000000000001</v>
      </c>
      <c r="O826" t="s">
        <v>1551</v>
      </c>
      <c r="P826">
        <v>0</v>
      </c>
      <c r="Q826" t="s">
        <v>1551</v>
      </c>
      <c r="U826">
        <v>30</v>
      </c>
      <c r="W826" t="s">
        <v>958</v>
      </c>
      <c r="X826" t="s">
        <v>883</v>
      </c>
      <c r="Y826" t="s">
        <v>1571</v>
      </c>
      <c r="AA826" t="s">
        <v>419</v>
      </c>
      <c r="AB826">
        <v>0</v>
      </c>
      <c r="AK826" t="s">
        <v>642</v>
      </c>
      <c r="AL826" t="s">
        <v>290</v>
      </c>
    </row>
    <row r="827" spans="1:39">
      <c r="A827" s="146">
        <v>46217.225381944445</v>
      </c>
      <c r="B827" s="146">
        <v>46216</v>
      </c>
      <c r="C827">
        <v>2022158</v>
      </c>
      <c r="D827" t="s">
        <v>394</v>
      </c>
      <c r="E827" t="s">
        <v>653</v>
      </c>
      <c r="F827" t="s">
        <v>650</v>
      </c>
      <c r="G827" t="s">
        <v>222</v>
      </c>
      <c r="H827" t="s">
        <v>641</v>
      </c>
      <c r="I827" t="s">
        <v>1574</v>
      </c>
      <c r="J827">
        <v>6630</v>
      </c>
      <c r="K827" s="141">
        <v>118.67699999999999</v>
      </c>
      <c r="O827" t="s">
        <v>1068</v>
      </c>
      <c r="P827">
        <v>0</v>
      </c>
      <c r="Q827" t="s">
        <v>1068</v>
      </c>
      <c r="U827">
        <v>50</v>
      </c>
      <c r="W827" t="s">
        <v>958</v>
      </c>
      <c r="X827" t="s">
        <v>883</v>
      </c>
      <c r="Y827" t="s">
        <v>1572</v>
      </c>
      <c r="AA827" t="s">
        <v>647</v>
      </c>
      <c r="AB827">
        <v>0</v>
      </c>
      <c r="AK827" t="s">
        <v>642</v>
      </c>
      <c r="AL827" t="s">
        <v>290</v>
      </c>
    </row>
    <row r="828" spans="1:39">
      <c r="A828" s="146">
        <v>46217.226886574077</v>
      </c>
      <c r="B828" s="146">
        <v>46216</v>
      </c>
      <c r="C828">
        <v>2221908</v>
      </c>
      <c r="D828" t="s">
        <v>398</v>
      </c>
      <c r="E828" t="s">
        <v>653</v>
      </c>
      <c r="F828" t="s">
        <v>650</v>
      </c>
      <c r="G828" t="s">
        <v>228</v>
      </c>
      <c r="H828" t="s">
        <v>641</v>
      </c>
      <c r="I828" t="s">
        <v>1576</v>
      </c>
      <c r="J828">
        <v>1000</v>
      </c>
      <c r="K828" s="141">
        <v>51.6</v>
      </c>
      <c r="O828" t="s">
        <v>651</v>
      </c>
      <c r="P828">
        <v>1</v>
      </c>
      <c r="Q828" t="s">
        <v>651</v>
      </c>
      <c r="U828">
        <v>21</v>
      </c>
      <c r="W828" t="s">
        <v>958</v>
      </c>
      <c r="X828" t="s">
        <v>883</v>
      </c>
      <c r="Y828" t="s">
        <v>1575</v>
      </c>
      <c r="AA828" t="s">
        <v>652</v>
      </c>
      <c r="AB828">
        <v>0</v>
      </c>
      <c r="AK828" t="s">
        <v>642</v>
      </c>
      <c r="AL828" t="s">
        <v>59</v>
      </c>
    </row>
    <row r="829" spans="1:39">
      <c r="A829" s="146">
        <v>46217.243611111109</v>
      </c>
      <c r="B829" s="146">
        <v>46216</v>
      </c>
      <c r="C829">
        <v>1921551</v>
      </c>
      <c r="D829" t="s">
        <v>380</v>
      </c>
      <c r="E829" t="s">
        <v>653</v>
      </c>
      <c r="F829" t="s">
        <v>650</v>
      </c>
      <c r="G829" t="s">
        <v>229</v>
      </c>
      <c r="H829" t="s">
        <v>641</v>
      </c>
      <c r="I829" t="s">
        <v>97</v>
      </c>
      <c r="J829">
        <v>600</v>
      </c>
      <c r="K829" s="141">
        <v>30</v>
      </c>
      <c r="L829">
        <v>0</v>
      </c>
      <c r="N829">
        <v>0</v>
      </c>
      <c r="O829" t="s">
        <v>1578</v>
      </c>
      <c r="P829">
        <v>0</v>
      </c>
      <c r="Q829" t="s">
        <v>1578</v>
      </c>
      <c r="S829">
        <v>0</v>
      </c>
      <c r="T829">
        <v>2</v>
      </c>
      <c r="U829">
        <v>60</v>
      </c>
      <c r="V829">
        <v>0</v>
      </c>
      <c r="W829" t="s">
        <v>958</v>
      </c>
      <c r="X829" t="s">
        <v>883</v>
      </c>
      <c r="Y829" t="s">
        <v>1579</v>
      </c>
      <c r="AA829" t="s">
        <v>419</v>
      </c>
      <c r="AB829">
        <v>0</v>
      </c>
      <c r="AK829" t="s">
        <v>642</v>
      </c>
      <c r="AL829" t="s">
        <v>670</v>
      </c>
      <c r="AM829">
        <v>2</v>
      </c>
    </row>
    <row r="830" spans="1:39">
      <c r="A830" s="146">
        <v>46217.243611111109</v>
      </c>
      <c r="B830" s="146">
        <v>46216</v>
      </c>
      <c r="C830">
        <v>1921551</v>
      </c>
      <c r="D830" t="s">
        <v>380</v>
      </c>
      <c r="E830" t="s">
        <v>653</v>
      </c>
      <c r="F830" t="s">
        <v>650</v>
      </c>
      <c r="G830" t="s">
        <v>467</v>
      </c>
      <c r="H830" t="s">
        <v>641</v>
      </c>
      <c r="I830" t="s">
        <v>86</v>
      </c>
      <c r="J830">
        <v>6420</v>
      </c>
      <c r="K830" s="141">
        <v>55.853999999999999</v>
      </c>
      <c r="O830" t="s">
        <v>1578</v>
      </c>
      <c r="P830">
        <v>0</v>
      </c>
      <c r="Q830" t="s">
        <v>1578</v>
      </c>
      <c r="U830">
        <v>60</v>
      </c>
      <c r="W830" t="s">
        <v>958</v>
      </c>
      <c r="X830" t="s">
        <v>883</v>
      </c>
      <c r="Y830" t="s">
        <v>1579</v>
      </c>
      <c r="AA830" t="s">
        <v>419</v>
      </c>
      <c r="AB830">
        <v>0</v>
      </c>
      <c r="AK830" t="s">
        <v>642</v>
      </c>
      <c r="AL830" t="s">
        <v>670</v>
      </c>
    </row>
    <row r="831" spans="1:39">
      <c r="A831" s="146">
        <v>46217.249930555554</v>
      </c>
      <c r="B831" s="146">
        <v>46216</v>
      </c>
      <c r="C831">
        <v>2228947</v>
      </c>
      <c r="D831" t="s">
        <v>416</v>
      </c>
      <c r="E831" t="s">
        <v>653</v>
      </c>
      <c r="F831" t="s">
        <v>650</v>
      </c>
      <c r="G831" t="s">
        <v>660</v>
      </c>
      <c r="H831" t="s">
        <v>641</v>
      </c>
      <c r="I831" t="s">
        <v>1581</v>
      </c>
      <c r="J831">
        <v>6520</v>
      </c>
      <c r="K831" s="141">
        <v>227.548</v>
      </c>
      <c r="O831" t="s">
        <v>1578</v>
      </c>
      <c r="P831">
        <v>0</v>
      </c>
      <c r="Q831" t="s">
        <v>1578</v>
      </c>
      <c r="U831">
        <v>42</v>
      </c>
      <c r="W831" t="s">
        <v>958</v>
      </c>
      <c r="X831" t="s">
        <v>883</v>
      </c>
      <c r="Y831" t="s">
        <v>1580</v>
      </c>
      <c r="AA831" t="s">
        <v>419</v>
      </c>
      <c r="AB831">
        <v>0</v>
      </c>
      <c r="AK831" t="s">
        <v>642</v>
      </c>
      <c r="AL831" t="s">
        <v>290</v>
      </c>
    </row>
    <row r="832" spans="1:39">
      <c r="A832" s="146">
        <v>46217.414849537039</v>
      </c>
      <c r="B832" s="146">
        <v>46217</v>
      </c>
      <c r="C832">
        <v>2243991</v>
      </c>
      <c r="D832" t="s">
        <v>410</v>
      </c>
      <c r="E832" t="s">
        <v>659</v>
      </c>
      <c r="F832" t="s">
        <v>650</v>
      </c>
      <c r="G832" t="s">
        <v>228</v>
      </c>
      <c r="H832" t="s">
        <v>641</v>
      </c>
      <c r="I832" t="s">
        <v>1590</v>
      </c>
      <c r="J832">
        <v>1515</v>
      </c>
      <c r="K832" s="141">
        <v>46.44</v>
      </c>
      <c r="O832" t="s">
        <v>651</v>
      </c>
      <c r="P832">
        <v>1</v>
      </c>
      <c r="Q832" t="s">
        <v>651</v>
      </c>
      <c r="R832" t="s">
        <v>1582</v>
      </c>
      <c r="U832">
        <v>21</v>
      </c>
      <c r="W832" t="s">
        <v>958</v>
      </c>
      <c r="X832" t="s">
        <v>883</v>
      </c>
      <c r="Y832" t="s">
        <v>1583</v>
      </c>
      <c r="AA832" t="s">
        <v>652</v>
      </c>
      <c r="AB832">
        <v>0</v>
      </c>
      <c r="AK832" t="s">
        <v>642</v>
      </c>
      <c r="AL832" t="s">
        <v>59</v>
      </c>
    </row>
    <row r="833" spans="1:39">
      <c r="A833" s="146">
        <v>46217.414849537039</v>
      </c>
      <c r="B833" s="146">
        <v>46217</v>
      </c>
      <c r="C833">
        <v>2325301</v>
      </c>
      <c r="D833" t="s">
        <v>412</v>
      </c>
      <c r="E833" t="s">
        <v>659</v>
      </c>
      <c r="F833" t="s">
        <v>650</v>
      </c>
      <c r="G833" t="s">
        <v>250</v>
      </c>
      <c r="H833" t="s">
        <v>641</v>
      </c>
      <c r="I833" t="s">
        <v>1584</v>
      </c>
      <c r="J833">
        <v>420</v>
      </c>
      <c r="K833" s="141">
        <v>60</v>
      </c>
      <c r="O833" t="s">
        <v>1551</v>
      </c>
      <c r="P833">
        <v>0</v>
      </c>
      <c r="Q833" t="s">
        <v>1551</v>
      </c>
      <c r="U833">
        <v>10</v>
      </c>
      <c r="W833" t="s">
        <v>958</v>
      </c>
      <c r="X833" t="s">
        <v>883</v>
      </c>
      <c r="Y833" t="s">
        <v>1557</v>
      </c>
      <c r="AA833" t="s">
        <v>419</v>
      </c>
      <c r="AB833">
        <v>0</v>
      </c>
      <c r="AK833" t="s">
        <v>642</v>
      </c>
      <c r="AL833" t="s">
        <v>290</v>
      </c>
    </row>
    <row r="834" spans="1:39">
      <c r="A834" s="146">
        <v>46217.556875000002</v>
      </c>
      <c r="B834" s="146">
        <v>46217</v>
      </c>
      <c r="C834">
        <v>2021742</v>
      </c>
      <c r="D834" t="s">
        <v>391</v>
      </c>
      <c r="E834" t="s">
        <v>659</v>
      </c>
      <c r="F834" t="s">
        <v>650</v>
      </c>
      <c r="G834" t="s">
        <v>216</v>
      </c>
      <c r="H834" t="s">
        <v>641</v>
      </c>
      <c r="I834" t="s">
        <v>1588</v>
      </c>
      <c r="J834">
        <v>1845</v>
      </c>
      <c r="K834" s="141">
        <v>95.201999999999998</v>
      </c>
      <c r="O834" t="s">
        <v>1551</v>
      </c>
      <c r="P834">
        <v>1</v>
      </c>
      <c r="Q834" t="s">
        <v>1551</v>
      </c>
      <c r="U834">
        <v>27</v>
      </c>
      <c r="W834" t="s">
        <v>958</v>
      </c>
      <c r="X834" t="s">
        <v>883</v>
      </c>
      <c r="Y834" t="s">
        <v>1585</v>
      </c>
      <c r="AA834" t="s">
        <v>652</v>
      </c>
      <c r="AB834">
        <v>0</v>
      </c>
      <c r="AK834" t="s">
        <v>642</v>
      </c>
      <c r="AL834" t="s">
        <v>290</v>
      </c>
    </row>
    <row r="835" spans="1:39">
      <c r="A835" s="146">
        <v>46217.557569444441</v>
      </c>
      <c r="B835" s="146">
        <v>46217</v>
      </c>
      <c r="C835">
        <v>2021742</v>
      </c>
      <c r="D835" t="s">
        <v>391</v>
      </c>
      <c r="E835" t="s">
        <v>659</v>
      </c>
      <c r="F835" t="s">
        <v>650</v>
      </c>
      <c r="G835" t="s">
        <v>227</v>
      </c>
      <c r="H835" t="s">
        <v>641</v>
      </c>
      <c r="I835" t="s">
        <v>1589</v>
      </c>
      <c r="J835">
        <v>4530</v>
      </c>
      <c r="K835" s="141">
        <v>81.087000000000003</v>
      </c>
      <c r="O835" t="s">
        <v>1586</v>
      </c>
      <c r="P835">
        <v>0</v>
      </c>
      <c r="Q835" t="s">
        <v>1586</v>
      </c>
      <c r="U835">
        <v>50</v>
      </c>
      <c r="W835" t="s">
        <v>958</v>
      </c>
      <c r="X835" t="s">
        <v>883</v>
      </c>
      <c r="Y835" t="s">
        <v>1587</v>
      </c>
      <c r="AA835" t="s">
        <v>647</v>
      </c>
      <c r="AB835">
        <v>0</v>
      </c>
      <c r="AK835" t="s">
        <v>642</v>
      </c>
      <c r="AL835" t="s">
        <v>290</v>
      </c>
    </row>
    <row r="836" spans="1:39">
      <c r="A836" s="146">
        <v>46217.576516203706</v>
      </c>
      <c r="B836" s="146">
        <v>46217</v>
      </c>
      <c r="C836">
        <v>2222785</v>
      </c>
      <c r="D836" t="s">
        <v>399</v>
      </c>
      <c r="E836" t="s">
        <v>659</v>
      </c>
      <c r="F836" t="s">
        <v>654</v>
      </c>
      <c r="G836" t="s">
        <v>234</v>
      </c>
      <c r="H836" t="s">
        <v>641</v>
      </c>
      <c r="I836" t="s">
        <v>82</v>
      </c>
      <c r="J836">
        <v>3720</v>
      </c>
      <c r="K836" s="141">
        <v>129.828</v>
      </c>
      <c r="L836">
        <v>0</v>
      </c>
      <c r="N836">
        <v>129.828</v>
      </c>
      <c r="O836" t="s">
        <v>1591</v>
      </c>
      <c r="P836">
        <v>0</v>
      </c>
      <c r="Q836" t="s">
        <v>1591</v>
      </c>
      <c r="S836">
        <v>0</v>
      </c>
      <c r="T836">
        <v>2.1</v>
      </c>
      <c r="U836">
        <v>30</v>
      </c>
      <c r="V836">
        <v>0.98412698412698407</v>
      </c>
      <c r="W836" t="s">
        <v>958</v>
      </c>
      <c r="X836" t="s">
        <v>883</v>
      </c>
      <c r="Y836" t="s">
        <v>1592</v>
      </c>
      <c r="AA836" t="s">
        <v>419</v>
      </c>
      <c r="AB836">
        <v>0</v>
      </c>
      <c r="AI836">
        <v>4</v>
      </c>
      <c r="AJ836">
        <v>3720</v>
      </c>
      <c r="AK836" t="s">
        <v>642</v>
      </c>
      <c r="AL836" t="s">
        <v>290</v>
      </c>
      <c r="AM836">
        <v>2</v>
      </c>
    </row>
    <row r="837" spans="1:39">
      <c r="A837" s="146">
        <v>46217.577291666668</v>
      </c>
      <c r="B837" s="146">
        <v>46217</v>
      </c>
      <c r="C837">
        <v>2222785</v>
      </c>
      <c r="D837" t="s">
        <v>399</v>
      </c>
      <c r="E837" t="s">
        <v>659</v>
      </c>
      <c r="F837" t="s">
        <v>650</v>
      </c>
      <c r="G837" t="s">
        <v>243</v>
      </c>
      <c r="H837" t="s">
        <v>641</v>
      </c>
      <c r="I837" t="s">
        <v>1595</v>
      </c>
      <c r="J837">
        <v>1860</v>
      </c>
      <c r="K837" s="141">
        <v>64.914000000000001</v>
      </c>
      <c r="L837">
        <v>0</v>
      </c>
      <c r="N837">
        <v>64.914000000000001</v>
      </c>
      <c r="O837" t="s">
        <v>1591</v>
      </c>
      <c r="P837">
        <v>0</v>
      </c>
      <c r="Q837" t="s">
        <v>1591</v>
      </c>
      <c r="S837">
        <v>0</v>
      </c>
      <c r="T837">
        <v>1</v>
      </c>
      <c r="U837">
        <v>30</v>
      </c>
      <c r="V837">
        <v>1.0333333333333334</v>
      </c>
      <c r="W837" t="s">
        <v>958</v>
      </c>
      <c r="X837" t="s">
        <v>883</v>
      </c>
      <c r="Y837" t="s">
        <v>1593</v>
      </c>
      <c r="AA837" t="s">
        <v>419</v>
      </c>
      <c r="AB837">
        <v>0</v>
      </c>
      <c r="AI837">
        <v>2</v>
      </c>
      <c r="AJ837">
        <v>1860</v>
      </c>
      <c r="AK837" t="s">
        <v>642</v>
      </c>
      <c r="AL837" t="s">
        <v>290</v>
      </c>
      <c r="AM837">
        <v>2</v>
      </c>
    </row>
    <row r="838" spans="1:39">
      <c r="A838" s="146">
        <v>46217.578159722223</v>
      </c>
      <c r="B838" s="146">
        <v>46217</v>
      </c>
      <c r="C838">
        <v>2222785</v>
      </c>
      <c r="D838" t="s">
        <v>399</v>
      </c>
      <c r="E838" t="s">
        <v>659</v>
      </c>
      <c r="F838" t="s">
        <v>650</v>
      </c>
      <c r="G838" t="s">
        <v>222</v>
      </c>
      <c r="H838" t="s">
        <v>641</v>
      </c>
      <c r="I838" t="s">
        <v>1596</v>
      </c>
      <c r="J838">
        <v>3020</v>
      </c>
      <c r="K838" s="141">
        <v>54.058</v>
      </c>
      <c r="L838">
        <v>0</v>
      </c>
      <c r="N838">
        <v>54.058</v>
      </c>
      <c r="O838" t="s">
        <v>1591</v>
      </c>
      <c r="P838">
        <v>0</v>
      </c>
      <c r="Q838" t="s">
        <v>1591</v>
      </c>
      <c r="S838">
        <v>0</v>
      </c>
      <c r="T838">
        <v>1</v>
      </c>
      <c r="U838">
        <v>50</v>
      </c>
      <c r="V838">
        <v>1.0066666666666666</v>
      </c>
      <c r="W838" t="s">
        <v>958</v>
      </c>
      <c r="X838" t="s">
        <v>883</v>
      </c>
      <c r="Y838" t="s">
        <v>1594</v>
      </c>
      <c r="AA838" t="s">
        <v>419</v>
      </c>
      <c r="AB838">
        <v>0</v>
      </c>
      <c r="AG838">
        <v>2</v>
      </c>
      <c r="AH838">
        <v>3020</v>
      </c>
      <c r="AK838" t="s">
        <v>642</v>
      </c>
      <c r="AL838" t="s">
        <v>290</v>
      </c>
      <c r="AM838">
        <v>2</v>
      </c>
    </row>
    <row r="839" spans="1:39">
      <c r="A839" s="146">
        <v>46217.84547453704</v>
      </c>
      <c r="B839" s="146">
        <v>46217</v>
      </c>
      <c r="C839">
        <v>2223535</v>
      </c>
      <c r="D839" t="s">
        <v>400</v>
      </c>
      <c r="E839" t="s">
        <v>643</v>
      </c>
      <c r="F839" t="s">
        <v>650</v>
      </c>
      <c r="G839" t="s">
        <v>229</v>
      </c>
      <c r="H839" t="s">
        <v>641</v>
      </c>
      <c r="I839" t="s">
        <v>97</v>
      </c>
      <c r="J839">
        <v>1020</v>
      </c>
      <c r="K839" s="141">
        <v>72.929999999999993</v>
      </c>
      <c r="O839" t="s">
        <v>1597</v>
      </c>
      <c r="P839">
        <v>0</v>
      </c>
      <c r="Q839" t="s">
        <v>1597</v>
      </c>
      <c r="R839" t="s">
        <v>1598</v>
      </c>
      <c r="U839">
        <v>17</v>
      </c>
      <c r="W839" t="s">
        <v>958</v>
      </c>
      <c r="X839" t="s">
        <v>883</v>
      </c>
      <c r="Y839" t="s">
        <v>1599</v>
      </c>
      <c r="AA839" t="s">
        <v>419</v>
      </c>
      <c r="AB839">
        <v>0</v>
      </c>
      <c r="AK839" t="s">
        <v>642</v>
      </c>
      <c r="AL839" t="s">
        <v>290</v>
      </c>
    </row>
    <row r="840" spans="1:39">
      <c r="A840" s="146">
        <v>46217.903564814813</v>
      </c>
      <c r="B840" s="146">
        <v>46217</v>
      </c>
      <c r="C840">
        <v>2224288</v>
      </c>
      <c r="D840" t="s">
        <v>401</v>
      </c>
      <c r="E840" t="s">
        <v>643</v>
      </c>
      <c r="F840" t="s">
        <v>650</v>
      </c>
      <c r="G840" t="s">
        <v>466</v>
      </c>
      <c r="H840" t="s">
        <v>641</v>
      </c>
      <c r="I840" t="s">
        <v>98</v>
      </c>
      <c r="J840">
        <v>4210</v>
      </c>
      <c r="K840" s="141">
        <v>75.358999999999995</v>
      </c>
      <c r="O840" t="s">
        <v>663</v>
      </c>
      <c r="P840">
        <v>0</v>
      </c>
      <c r="Q840" t="s">
        <v>663</v>
      </c>
      <c r="U840">
        <v>50</v>
      </c>
      <c r="W840" t="s">
        <v>958</v>
      </c>
      <c r="X840" t="s">
        <v>883</v>
      </c>
      <c r="Y840" t="s">
        <v>1606</v>
      </c>
      <c r="AA840" t="s">
        <v>647</v>
      </c>
      <c r="AB840">
        <v>0</v>
      </c>
      <c r="AK840" t="s">
        <v>642</v>
      </c>
      <c r="AL840" t="s">
        <v>290</v>
      </c>
    </row>
    <row r="841" spans="1:39">
      <c r="A841" s="146">
        <v>46217.865428240744</v>
      </c>
      <c r="B841" s="146">
        <v>46217</v>
      </c>
      <c r="C841">
        <v>2021131</v>
      </c>
      <c r="D841" t="s">
        <v>387</v>
      </c>
      <c r="E841" t="s">
        <v>643</v>
      </c>
      <c r="F841" t="s">
        <v>650</v>
      </c>
      <c r="G841" t="s">
        <v>673</v>
      </c>
      <c r="H841" t="s">
        <v>641</v>
      </c>
      <c r="I841" t="s">
        <v>90</v>
      </c>
      <c r="J841">
        <v>2040</v>
      </c>
      <c r="K841" s="141">
        <v>35</v>
      </c>
      <c r="O841" t="s">
        <v>663</v>
      </c>
      <c r="P841">
        <v>0</v>
      </c>
      <c r="Q841" t="s">
        <v>663</v>
      </c>
      <c r="U841">
        <v>50</v>
      </c>
      <c r="W841" t="s">
        <v>958</v>
      </c>
      <c r="X841" t="s">
        <v>883</v>
      </c>
      <c r="Y841" t="s">
        <v>1600</v>
      </c>
      <c r="AA841" t="s">
        <v>647</v>
      </c>
      <c r="AB841">
        <v>0</v>
      </c>
      <c r="AK841" t="s">
        <v>642</v>
      </c>
      <c r="AL841" t="s">
        <v>290</v>
      </c>
    </row>
    <row r="842" spans="1:39">
      <c r="A842" s="146">
        <v>46217.883275462962</v>
      </c>
      <c r="B842" s="146">
        <v>46217</v>
      </c>
      <c r="C842">
        <v>2222332</v>
      </c>
      <c r="D842" t="s">
        <v>406</v>
      </c>
      <c r="E842" t="s">
        <v>643</v>
      </c>
      <c r="F842" t="s">
        <v>650</v>
      </c>
      <c r="G842" t="s">
        <v>1601</v>
      </c>
      <c r="H842" t="s">
        <v>641</v>
      </c>
      <c r="I842" t="s">
        <v>1603</v>
      </c>
      <c r="J842">
        <v>840</v>
      </c>
      <c r="K842" s="141">
        <v>117.096</v>
      </c>
      <c r="O842" t="s">
        <v>663</v>
      </c>
      <c r="P842">
        <v>0</v>
      </c>
      <c r="Q842" t="s">
        <v>663</v>
      </c>
      <c r="U842">
        <v>10</v>
      </c>
      <c r="W842" t="s">
        <v>958</v>
      </c>
      <c r="X842" t="s">
        <v>883</v>
      </c>
      <c r="Y842" t="s">
        <v>1602</v>
      </c>
      <c r="AA842" t="s">
        <v>647</v>
      </c>
      <c r="AB842">
        <v>0</v>
      </c>
      <c r="AK842" t="s">
        <v>642</v>
      </c>
      <c r="AL842" t="s">
        <v>59</v>
      </c>
    </row>
    <row r="843" spans="1:39">
      <c r="A843" s="146">
        <v>46217.898599537039</v>
      </c>
      <c r="B843" s="146">
        <v>46217</v>
      </c>
      <c r="C843">
        <v>2021645</v>
      </c>
      <c r="D843" t="s">
        <v>629</v>
      </c>
      <c r="E843" t="s">
        <v>643</v>
      </c>
      <c r="F843" t="s">
        <v>650</v>
      </c>
      <c r="G843" t="s">
        <v>246</v>
      </c>
      <c r="H843" t="s">
        <v>641</v>
      </c>
      <c r="I843" t="s">
        <v>87</v>
      </c>
      <c r="J843">
        <v>3210</v>
      </c>
      <c r="K843" s="141">
        <v>27.927</v>
      </c>
      <c r="O843" t="s">
        <v>663</v>
      </c>
      <c r="P843">
        <v>0</v>
      </c>
      <c r="Q843" t="s">
        <v>663</v>
      </c>
      <c r="U843">
        <v>70</v>
      </c>
      <c r="W843" t="s">
        <v>958</v>
      </c>
      <c r="X843" t="s">
        <v>883</v>
      </c>
      <c r="Y843" t="s">
        <v>1604</v>
      </c>
      <c r="AA843" t="s">
        <v>647</v>
      </c>
      <c r="AB843">
        <v>0</v>
      </c>
      <c r="AK843" t="s">
        <v>642</v>
      </c>
      <c r="AL843" t="s">
        <v>290</v>
      </c>
    </row>
    <row r="844" spans="1:39">
      <c r="A844" s="146">
        <v>46217.89949074074</v>
      </c>
      <c r="B844" s="146">
        <v>46217</v>
      </c>
      <c r="C844">
        <v>2021645</v>
      </c>
      <c r="D844" t="s">
        <v>629</v>
      </c>
      <c r="E844" t="s">
        <v>643</v>
      </c>
      <c r="F844" t="s">
        <v>650</v>
      </c>
      <c r="G844" t="s">
        <v>223</v>
      </c>
      <c r="H844" t="s">
        <v>641</v>
      </c>
      <c r="I844" t="s">
        <v>94</v>
      </c>
      <c r="J844">
        <v>2330</v>
      </c>
      <c r="K844" s="141">
        <v>81.317000000000007</v>
      </c>
      <c r="O844" t="s">
        <v>1597</v>
      </c>
      <c r="P844">
        <v>0</v>
      </c>
      <c r="Q844" t="s">
        <v>1597</v>
      </c>
      <c r="U844">
        <v>42</v>
      </c>
      <c r="W844" t="s">
        <v>958</v>
      </c>
      <c r="X844" t="s">
        <v>883</v>
      </c>
      <c r="Y844" t="s">
        <v>1605</v>
      </c>
      <c r="AA844" t="s">
        <v>647</v>
      </c>
      <c r="AB844">
        <v>0</v>
      </c>
      <c r="AK844" t="s">
        <v>642</v>
      </c>
      <c r="AL844" t="s">
        <v>290</v>
      </c>
    </row>
    <row r="845" spans="1:39">
      <c r="A845" s="146">
        <v>46218.01966435185</v>
      </c>
      <c r="B845" s="146">
        <v>46217</v>
      </c>
      <c r="C845">
        <v>2325365</v>
      </c>
      <c r="D845" t="s">
        <v>414</v>
      </c>
      <c r="E845" t="s">
        <v>653</v>
      </c>
      <c r="F845" t="s">
        <v>650</v>
      </c>
      <c r="G845" t="s">
        <v>1607</v>
      </c>
      <c r="H845" t="s">
        <v>641</v>
      </c>
      <c r="I845" t="s">
        <v>1609</v>
      </c>
      <c r="J845">
        <v>1860</v>
      </c>
      <c r="K845" s="141">
        <v>64.914000000000001</v>
      </c>
      <c r="O845" t="s">
        <v>663</v>
      </c>
      <c r="P845">
        <v>0</v>
      </c>
      <c r="Q845" t="s">
        <v>663</v>
      </c>
      <c r="U845">
        <v>30</v>
      </c>
      <c r="W845" t="s">
        <v>958</v>
      </c>
      <c r="X845" t="s">
        <v>883</v>
      </c>
      <c r="Y845" t="s">
        <v>1608</v>
      </c>
      <c r="AA845" t="s">
        <v>647</v>
      </c>
      <c r="AB845">
        <v>0</v>
      </c>
      <c r="AK845" t="s">
        <v>642</v>
      </c>
      <c r="AL845" t="s">
        <v>290</v>
      </c>
    </row>
    <row r="846" spans="1:39">
      <c r="A846" s="146">
        <v>46218.193518518521</v>
      </c>
      <c r="B846" s="146">
        <v>46217</v>
      </c>
      <c r="C846">
        <v>2325310</v>
      </c>
      <c r="D846" t="s">
        <v>413</v>
      </c>
      <c r="E846" t="s">
        <v>653</v>
      </c>
      <c r="F846" t="s">
        <v>650</v>
      </c>
      <c r="G846" t="s">
        <v>481</v>
      </c>
      <c r="H846" t="s">
        <v>641</v>
      </c>
      <c r="I846" t="s">
        <v>1611</v>
      </c>
      <c r="J846">
        <v>1240</v>
      </c>
      <c r="K846" s="141">
        <v>99.447999999999993</v>
      </c>
      <c r="O846" t="s">
        <v>663</v>
      </c>
      <c r="P846">
        <v>0</v>
      </c>
      <c r="Q846" t="s">
        <v>663</v>
      </c>
      <c r="U846">
        <v>13.5</v>
      </c>
      <c r="W846" t="s">
        <v>958</v>
      </c>
      <c r="X846" t="s">
        <v>883</v>
      </c>
      <c r="Y846" t="s">
        <v>1610</v>
      </c>
      <c r="AA846" t="s">
        <v>647</v>
      </c>
      <c r="AB846">
        <v>0</v>
      </c>
      <c r="AK846" t="s">
        <v>642</v>
      </c>
      <c r="AL846" t="s">
        <v>290</v>
      </c>
    </row>
    <row r="847" spans="1:39">
      <c r="A847" s="146">
        <v>46218.198657407411</v>
      </c>
      <c r="B847" s="146">
        <v>46217</v>
      </c>
      <c r="C847">
        <v>2221908</v>
      </c>
      <c r="D847" t="s">
        <v>398</v>
      </c>
      <c r="E847" t="s">
        <v>653</v>
      </c>
      <c r="F847" t="s">
        <v>650</v>
      </c>
      <c r="G847" t="s">
        <v>225</v>
      </c>
      <c r="H847" t="s">
        <v>641</v>
      </c>
      <c r="I847" t="s">
        <v>1614</v>
      </c>
      <c r="J847">
        <v>2860</v>
      </c>
      <c r="K847" s="141">
        <v>31.734000000000002</v>
      </c>
      <c r="O847" t="s">
        <v>651</v>
      </c>
      <c r="P847">
        <v>1</v>
      </c>
      <c r="Q847" t="s">
        <v>651</v>
      </c>
      <c r="U847">
        <v>21</v>
      </c>
      <c r="W847" t="s">
        <v>958</v>
      </c>
      <c r="X847" t="s">
        <v>883</v>
      </c>
      <c r="Y847" t="s">
        <v>1612</v>
      </c>
      <c r="AA847" t="s">
        <v>652</v>
      </c>
      <c r="AB847">
        <v>0</v>
      </c>
      <c r="AK847" t="s">
        <v>642</v>
      </c>
      <c r="AL847" t="s">
        <v>59</v>
      </c>
    </row>
    <row r="848" spans="1:39">
      <c r="A848" s="146">
        <v>46218.199837962966</v>
      </c>
      <c r="B848" s="146">
        <v>46217</v>
      </c>
      <c r="C848">
        <v>2221908</v>
      </c>
      <c r="D848" t="s">
        <v>398</v>
      </c>
      <c r="E848" t="s">
        <v>653</v>
      </c>
      <c r="F848" t="s">
        <v>650</v>
      </c>
      <c r="G848" t="s">
        <v>228</v>
      </c>
      <c r="H848" t="s">
        <v>641</v>
      </c>
      <c r="I848" t="s">
        <v>1615</v>
      </c>
      <c r="J848">
        <v>615</v>
      </c>
      <c r="K848" s="141">
        <v>31.734000000000002</v>
      </c>
      <c r="O848" t="s">
        <v>651</v>
      </c>
      <c r="P848">
        <v>2</v>
      </c>
      <c r="Q848" t="s">
        <v>651</v>
      </c>
      <c r="U848">
        <v>21</v>
      </c>
      <c r="W848" t="s">
        <v>958</v>
      </c>
      <c r="X848" t="s">
        <v>883</v>
      </c>
      <c r="Y848" t="s">
        <v>1613</v>
      </c>
      <c r="AA848" t="s">
        <v>652</v>
      </c>
      <c r="AB848">
        <v>0</v>
      </c>
      <c r="AK848" t="s">
        <v>642</v>
      </c>
      <c r="AL848" t="s">
        <v>59</v>
      </c>
    </row>
    <row r="849" spans="1:39">
      <c r="A849" s="146">
        <v>46218.219652777778</v>
      </c>
      <c r="B849" s="146">
        <v>46217</v>
      </c>
      <c r="C849">
        <v>2020965</v>
      </c>
      <c r="D849" t="s">
        <v>386</v>
      </c>
      <c r="E849" t="s">
        <v>653</v>
      </c>
      <c r="F849" t="s">
        <v>650</v>
      </c>
      <c r="G849" t="s">
        <v>224</v>
      </c>
      <c r="H849" t="s">
        <v>641</v>
      </c>
      <c r="I849" t="s">
        <v>1618</v>
      </c>
      <c r="J849">
        <v>3020</v>
      </c>
      <c r="K849" s="141">
        <v>54.058</v>
      </c>
      <c r="O849" t="s">
        <v>1616</v>
      </c>
      <c r="P849">
        <v>0</v>
      </c>
      <c r="Q849" t="s">
        <v>1616</v>
      </c>
      <c r="U849">
        <v>50</v>
      </c>
      <c r="W849" t="s">
        <v>958</v>
      </c>
      <c r="X849" t="s">
        <v>883</v>
      </c>
      <c r="Y849" t="s">
        <v>1617</v>
      </c>
      <c r="AA849" t="s">
        <v>647</v>
      </c>
      <c r="AB849">
        <v>0</v>
      </c>
      <c r="AK849" t="s">
        <v>642</v>
      </c>
      <c r="AL849" t="s">
        <v>59</v>
      </c>
    </row>
    <row r="850" spans="1:39">
      <c r="A850" s="146">
        <v>46218.236250000002</v>
      </c>
      <c r="B850" s="146">
        <v>46217</v>
      </c>
      <c r="C850">
        <v>2325295</v>
      </c>
      <c r="D850" t="s">
        <v>411</v>
      </c>
      <c r="E850" t="s">
        <v>653</v>
      </c>
      <c r="F850" t="s">
        <v>650</v>
      </c>
      <c r="G850" t="s">
        <v>256</v>
      </c>
      <c r="H850" t="s">
        <v>641</v>
      </c>
      <c r="I850" t="s">
        <v>1620</v>
      </c>
      <c r="J850">
        <v>2460</v>
      </c>
      <c r="K850" s="141">
        <v>110.946</v>
      </c>
      <c r="O850" t="s">
        <v>1616</v>
      </c>
      <c r="P850">
        <v>0</v>
      </c>
      <c r="Q850" t="s">
        <v>1616</v>
      </c>
      <c r="U850">
        <v>27</v>
      </c>
      <c r="W850" t="s">
        <v>958</v>
      </c>
      <c r="X850" t="s">
        <v>883</v>
      </c>
      <c r="Y850" t="s">
        <v>1619</v>
      </c>
      <c r="AA850" t="s">
        <v>647</v>
      </c>
      <c r="AB850">
        <v>0</v>
      </c>
      <c r="AK850" t="s">
        <v>642</v>
      </c>
      <c r="AL850" t="s">
        <v>290</v>
      </c>
    </row>
    <row r="851" spans="1:39">
      <c r="A851" s="146">
        <v>46218.24722222222</v>
      </c>
      <c r="B851" s="146">
        <v>46217</v>
      </c>
      <c r="C851">
        <v>2228947</v>
      </c>
      <c r="D851" t="s">
        <v>416</v>
      </c>
      <c r="E851" t="s">
        <v>653</v>
      </c>
      <c r="F851" t="s">
        <v>650</v>
      </c>
      <c r="G851" t="s">
        <v>1621</v>
      </c>
      <c r="H851" t="s">
        <v>641</v>
      </c>
      <c r="I851" t="s">
        <v>1623</v>
      </c>
      <c r="J851">
        <v>6420</v>
      </c>
      <c r="K851" s="141">
        <v>55.853999999999999</v>
      </c>
      <c r="O851" t="s">
        <v>1616</v>
      </c>
      <c r="P851">
        <v>0</v>
      </c>
      <c r="Q851" t="s">
        <v>1616</v>
      </c>
      <c r="U851">
        <v>70</v>
      </c>
      <c r="W851" t="s">
        <v>958</v>
      </c>
      <c r="X851" t="s">
        <v>883</v>
      </c>
      <c r="Y851" t="s">
        <v>1622</v>
      </c>
      <c r="AA851" t="s">
        <v>647</v>
      </c>
      <c r="AB851">
        <v>0</v>
      </c>
      <c r="AK851" t="s">
        <v>642</v>
      </c>
      <c r="AL851" t="s">
        <v>290</v>
      </c>
    </row>
    <row r="852" spans="1:39">
      <c r="A852" s="146">
        <v>46218.24722222222</v>
      </c>
      <c r="B852" s="146">
        <v>46217</v>
      </c>
      <c r="C852">
        <v>2243991</v>
      </c>
      <c r="D852" t="s">
        <v>410</v>
      </c>
      <c r="E852" t="s">
        <v>659</v>
      </c>
      <c r="F852" t="s">
        <v>650</v>
      </c>
      <c r="G852" t="s">
        <v>228</v>
      </c>
      <c r="H852" t="s">
        <v>641</v>
      </c>
      <c r="I852" t="s">
        <v>1624</v>
      </c>
      <c r="J852">
        <v>1230</v>
      </c>
      <c r="K852" s="141">
        <v>31.734000000000002</v>
      </c>
      <c r="O852" t="s">
        <v>651</v>
      </c>
      <c r="P852">
        <v>2</v>
      </c>
      <c r="Q852" t="s">
        <v>651</v>
      </c>
      <c r="U852">
        <v>21</v>
      </c>
      <c r="W852" t="s">
        <v>958</v>
      </c>
      <c r="X852" t="s">
        <v>883</v>
      </c>
      <c r="Y852" t="s">
        <v>1613</v>
      </c>
      <c r="AA852" t="s">
        <v>652</v>
      </c>
      <c r="AB852">
        <v>0</v>
      </c>
      <c r="AK852" t="s">
        <v>642</v>
      </c>
      <c r="AL852" t="s">
        <v>59</v>
      </c>
    </row>
    <row r="853" spans="1:39">
      <c r="A853" s="146">
        <v>46218.24722222222</v>
      </c>
      <c r="B853" s="146">
        <v>46217</v>
      </c>
      <c r="C853">
        <v>2325301</v>
      </c>
      <c r="D853" t="s">
        <v>412</v>
      </c>
      <c r="E853" t="s">
        <v>659</v>
      </c>
      <c r="F853" t="s">
        <v>650</v>
      </c>
      <c r="G853" t="s">
        <v>1625</v>
      </c>
      <c r="H853" t="s">
        <v>641</v>
      </c>
      <c r="I853" t="s">
        <v>1626</v>
      </c>
      <c r="J853">
        <v>420</v>
      </c>
      <c r="K853" s="141">
        <v>40</v>
      </c>
      <c r="O853" t="s">
        <v>663</v>
      </c>
      <c r="P853">
        <v>0</v>
      </c>
      <c r="Q853" t="s">
        <v>663</v>
      </c>
      <c r="U853">
        <v>10</v>
      </c>
      <c r="W853" t="s">
        <v>958</v>
      </c>
      <c r="X853" t="s">
        <v>883</v>
      </c>
      <c r="Y853" t="s">
        <v>1602</v>
      </c>
      <c r="AA853" t="s">
        <v>647</v>
      </c>
      <c r="AB853">
        <v>0</v>
      </c>
      <c r="AK853" t="s">
        <v>642</v>
      </c>
      <c r="AL853" t="s">
        <v>59</v>
      </c>
    </row>
    <row r="854" spans="1:39">
      <c r="A854" s="146">
        <v>46218.24722222222</v>
      </c>
      <c r="B854" s="146">
        <v>46217</v>
      </c>
      <c r="C854">
        <v>2325301</v>
      </c>
      <c r="D854" t="s">
        <v>412</v>
      </c>
      <c r="E854" t="s">
        <v>659</v>
      </c>
      <c r="F854" t="s">
        <v>650</v>
      </c>
      <c r="G854" t="s">
        <v>261</v>
      </c>
      <c r="H854" t="s">
        <v>641</v>
      </c>
      <c r="I854" t="s">
        <v>1627</v>
      </c>
      <c r="J854">
        <v>500</v>
      </c>
      <c r="K854" s="141">
        <v>40</v>
      </c>
      <c r="O854" t="s">
        <v>663</v>
      </c>
      <c r="P854">
        <v>0</v>
      </c>
      <c r="Q854" t="s">
        <v>663</v>
      </c>
      <c r="U854">
        <v>13.5</v>
      </c>
      <c r="W854" t="s">
        <v>958</v>
      </c>
      <c r="X854" t="s">
        <v>883</v>
      </c>
      <c r="Y854" t="s">
        <v>1610</v>
      </c>
      <c r="AA854" t="s">
        <v>647</v>
      </c>
      <c r="AB854">
        <v>0</v>
      </c>
      <c r="AK854" t="s">
        <v>642</v>
      </c>
      <c r="AL854" t="s">
        <v>290</v>
      </c>
    </row>
    <row r="855" spans="1:39">
      <c r="A855" s="146">
        <v>46218.525972222225</v>
      </c>
      <c r="B855" s="146">
        <v>46217</v>
      </c>
      <c r="C855">
        <v>2222785</v>
      </c>
      <c r="D855" t="s">
        <v>399</v>
      </c>
      <c r="E855" t="s">
        <v>659</v>
      </c>
      <c r="F855" t="s">
        <v>650</v>
      </c>
      <c r="G855" t="s">
        <v>466</v>
      </c>
      <c r="H855" t="s">
        <v>641</v>
      </c>
      <c r="I855" t="s">
        <v>98</v>
      </c>
      <c r="J855">
        <v>1510</v>
      </c>
      <c r="K855" s="141">
        <v>27.029</v>
      </c>
      <c r="L855">
        <v>0</v>
      </c>
      <c r="N855">
        <v>27.029</v>
      </c>
      <c r="O855" t="s">
        <v>1616</v>
      </c>
      <c r="P855">
        <v>0</v>
      </c>
      <c r="Q855" t="s">
        <v>1616</v>
      </c>
      <c r="S855">
        <v>0</v>
      </c>
      <c r="T855">
        <v>0.5</v>
      </c>
      <c r="U855">
        <v>50</v>
      </c>
      <c r="V855">
        <v>1.0066666666666666</v>
      </c>
      <c r="W855" t="s">
        <v>958</v>
      </c>
      <c r="X855" t="s">
        <v>883</v>
      </c>
      <c r="Y855" t="s">
        <v>1628</v>
      </c>
      <c r="AA855" t="s">
        <v>647</v>
      </c>
      <c r="AB855">
        <v>0</v>
      </c>
      <c r="AG855">
        <v>1</v>
      </c>
      <c r="AH855">
        <v>1510</v>
      </c>
      <c r="AK855" t="s">
        <v>642</v>
      </c>
      <c r="AL855" t="s">
        <v>290</v>
      </c>
      <c r="AM855">
        <v>2</v>
      </c>
    </row>
    <row r="856" spans="1:39">
      <c r="A856" s="146">
        <v>46218.53025462963</v>
      </c>
      <c r="B856" s="146">
        <v>46218</v>
      </c>
      <c r="C856">
        <v>2224358</v>
      </c>
      <c r="D856" t="s">
        <v>417</v>
      </c>
      <c r="E856" t="s">
        <v>659</v>
      </c>
      <c r="F856" t="s">
        <v>650</v>
      </c>
      <c r="G856" t="s">
        <v>1633</v>
      </c>
      <c r="H856" t="s">
        <v>641</v>
      </c>
      <c r="I856" t="s">
        <v>1047</v>
      </c>
      <c r="J856">
        <v>3210</v>
      </c>
      <c r="K856" s="141">
        <v>0</v>
      </c>
      <c r="L856">
        <v>0</v>
      </c>
      <c r="N856">
        <v>0</v>
      </c>
      <c r="O856" t="s">
        <v>1616</v>
      </c>
      <c r="P856">
        <v>0</v>
      </c>
      <c r="Q856" t="s">
        <v>1616</v>
      </c>
      <c r="R856" t="s">
        <v>1630</v>
      </c>
      <c r="S856">
        <v>0.75</v>
      </c>
      <c r="T856">
        <v>0.8</v>
      </c>
      <c r="U856">
        <v>70</v>
      </c>
      <c r="V856">
        <v>0</v>
      </c>
      <c r="W856" t="s">
        <v>958</v>
      </c>
      <c r="X856" t="s">
        <v>883</v>
      </c>
      <c r="Y856" t="s">
        <v>1632</v>
      </c>
      <c r="AA856" t="s">
        <v>647</v>
      </c>
      <c r="AB856">
        <v>0</v>
      </c>
      <c r="AK856" t="s">
        <v>642</v>
      </c>
      <c r="AL856" t="s">
        <v>290</v>
      </c>
      <c r="AM856">
        <v>2</v>
      </c>
    </row>
    <row r="857" spans="1:39">
      <c r="A857" s="146">
        <v>46218.53025462963</v>
      </c>
      <c r="B857" s="146">
        <v>46218</v>
      </c>
      <c r="C857">
        <v>2224358</v>
      </c>
      <c r="D857" t="s">
        <v>417</v>
      </c>
      <c r="E857" t="s">
        <v>659</v>
      </c>
      <c r="F857" t="s">
        <v>650</v>
      </c>
      <c r="G857" t="s">
        <v>1634</v>
      </c>
      <c r="H857" t="s">
        <v>641</v>
      </c>
      <c r="I857" t="s">
        <v>1047</v>
      </c>
      <c r="J857">
        <v>3210</v>
      </c>
      <c r="K857" s="141">
        <v>27.927</v>
      </c>
      <c r="O857" t="s">
        <v>1616</v>
      </c>
      <c r="P857">
        <v>0</v>
      </c>
      <c r="Q857" t="s">
        <v>1616</v>
      </c>
      <c r="R857" t="s">
        <v>1630</v>
      </c>
      <c r="U857">
        <v>70</v>
      </c>
      <c r="W857" t="s">
        <v>958</v>
      </c>
      <c r="X857" t="s">
        <v>883</v>
      </c>
      <c r="Y857" t="s">
        <v>1632</v>
      </c>
      <c r="AA857" t="s">
        <v>647</v>
      </c>
      <c r="AB857">
        <v>0</v>
      </c>
      <c r="AK857" t="s">
        <v>642</v>
      </c>
      <c r="AL857" t="s">
        <v>290</v>
      </c>
    </row>
    <row r="858" spans="1:39">
      <c r="A858" s="146">
        <v>46218.539155092592</v>
      </c>
      <c r="B858" s="146">
        <v>46218</v>
      </c>
      <c r="C858">
        <v>2021742</v>
      </c>
      <c r="D858" t="s">
        <v>391</v>
      </c>
      <c r="E858" t="s">
        <v>659</v>
      </c>
      <c r="F858" t="s">
        <v>650</v>
      </c>
      <c r="G858" t="s">
        <v>425</v>
      </c>
      <c r="H858" t="s">
        <v>641</v>
      </c>
      <c r="I858" t="s">
        <v>1639</v>
      </c>
      <c r="J858">
        <v>6420</v>
      </c>
      <c r="K858" s="141">
        <v>35.309999999999995</v>
      </c>
      <c r="O858" t="s">
        <v>1616</v>
      </c>
      <c r="P858">
        <v>0</v>
      </c>
      <c r="Q858" t="s">
        <v>1616</v>
      </c>
      <c r="U858">
        <v>60</v>
      </c>
      <c r="W858" t="s">
        <v>958</v>
      </c>
      <c r="X858" t="s">
        <v>883</v>
      </c>
      <c r="Y858" t="s">
        <v>1635</v>
      </c>
      <c r="AA858" t="s">
        <v>647</v>
      </c>
      <c r="AB858">
        <v>0</v>
      </c>
      <c r="AK858" t="s">
        <v>642</v>
      </c>
      <c r="AL858" t="s">
        <v>290</v>
      </c>
    </row>
    <row r="859" spans="1:39">
      <c r="A859" s="146">
        <v>46218.539687500001</v>
      </c>
      <c r="B859" s="146">
        <v>46218</v>
      </c>
      <c r="C859">
        <v>2021742</v>
      </c>
      <c r="D859" t="s">
        <v>391</v>
      </c>
      <c r="E859" t="s">
        <v>659</v>
      </c>
      <c r="F859" t="s">
        <v>650</v>
      </c>
      <c r="G859" t="s">
        <v>429</v>
      </c>
      <c r="H859" t="s">
        <v>641</v>
      </c>
      <c r="I859" t="s">
        <v>1640</v>
      </c>
      <c r="J859">
        <v>3210</v>
      </c>
      <c r="K859" s="141">
        <v>17.654999999999998</v>
      </c>
      <c r="O859" t="s">
        <v>1616</v>
      </c>
      <c r="P859">
        <v>0</v>
      </c>
      <c r="Q859" t="s">
        <v>1616</v>
      </c>
      <c r="U859">
        <v>60</v>
      </c>
      <c r="W859" t="s">
        <v>958</v>
      </c>
      <c r="X859" t="s">
        <v>883</v>
      </c>
      <c r="Y859" t="s">
        <v>1636</v>
      </c>
      <c r="AA859" t="s">
        <v>647</v>
      </c>
      <c r="AB859">
        <v>0</v>
      </c>
      <c r="AK859" t="s">
        <v>642</v>
      </c>
      <c r="AL859" t="s">
        <v>59</v>
      </c>
    </row>
    <row r="860" spans="1:39">
      <c r="A860" s="146">
        <v>46218.540578703702</v>
      </c>
      <c r="B860" s="146">
        <v>46218</v>
      </c>
      <c r="C860">
        <v>2021742</v>
      </c>
      <c r="D860" t="s">
        <v>391</v>
      </c>
      <c r="E860" t="s">
        <v>659</v>
      </c>
      <c r="F860" t="s">
        <v>650</v>
      </c>
      <c r="G860" t="s">
        <v>229</v>
      </c>
      <c r="H860" t="s">
        <v>641</v>
      </c>
      <c r="I860" t="s">
        <v>1641</v>
      </c>
      <c r="J860">
        <v>1020</v>
      </c>
      <c r="K860" s="141">
        <v>72.929999999999993</v>
      </c>
      <c r="O860" t="s">
        <v>1597</v>
      </c>
      <c r="P860">
        <v>0</v>
      </c>
      <c r="Q860" t="s">
        <v>1597</v>
      </c>
      <c r="U860">
        <v>17</v>
      </c>
      <c r="W860" t="s">
        <v>958</v>
      </c>
      <c r="X860" t="s">
        <v>883</v>
      </c>
      <c r="Y860" t="s">
        <v>1637</v>
      </c>
      <c r="AA860" t="s">
        <v>419</v>
      </c>
      <c r="AB860">
        <v>0</v>
      </c>
      <c r="AK860" t="s">
        <v>642</v>
      </c>
      <c r="AL860" t="s">
        <v>290</v>
      </c>
    </row>
    <row r="861" spans="1:39">
      <c r="A861" s="146">
        <v>46218.541296296295</v>
      </c>
      <c r="B861" s="146">
        <v>46218</v>
      </c>
      <c r="C861">
        <v>2021742</v>
      </c>
      <c r="D861" t="s">
        <v>391</v>
      </c>
      <c r="E861" t="s">
        <v>659</v>
      </c>
      <c r="F861" t="s">
        <v>650</v>
      </c>
      <c r="G861" t="s">
        <v>661</v>
      </c>
      <c r="H861" t="s">
        <v>641</v>
      </c>
      <c r="I861" t="s">
        <v>1642</v>
      </c>
      <c r="J861">
        <v>1530</v>
      </c>
      <c r="K861" s="141">
        <v>109.395</v>
      </c>
      <c r="O861" t="s">
        <v>1597</v>
      </c>
      <c r="P861">
        <v>0</v>
      </c>
      <c r="Q861" t="s">
        <v>1597</v>
      </c>
      <c r="U861">
        <v>17</v>
      </c>
      <c r="W861" t="s">
        <v>958</v>
      </c>
      <c r="X861" t="s">
        <v>883</v>
      </c>
      <c r="Y861" t="s">
        <v>1638</v>
      </c>
      <c r="AA861" t="s">
        <v>419</v>
      </c>
      <c r="AB861">
        <v>0</v>
      </c>
      <c r="AK861" t="s">
        <v>642</v>
      </c>
      <c r="AL861" t="s">
        <v>290</v>
      </c>
    </row>
    <row r="862" spans="1:39">
      <c r="A862" s="146">
        <v>46218.570601851854</v>
      </c>
      <c r="B862" s="146">
        <v>46218</v>
      </c>
      <c r="C862">
        <v>2220255</v>
      </c>
      <c r="D862" t="s">
        <v>396</v>
      </c>
      <c r="E862" t="s">
        <v>659</v>
      </c>
      <c r="F862" t="s">
        <v>650</v>
      </c>
      <c r="G862" t="s">
        <v>256</v>
      </c>
      <c r="H862" t="s">
        <v>641</v>
      </c>
      <c r="I862" t="s">
        <v>93</v>
      </c>
      <c r="J862">
        <v>3690</v>
      </c>
      <c r="K862" s="141">
        <v>166.41900000000001</v>
      </c>
      <c r="O862" t="s">
        <v>1597</v>
      </c>
      <c r="P862">
        <v>0</v>
      </c>
      <c r="Q862" t="s">
        <v>1597</v>
      </c>
      <c r="U862">
        <v>27</v>
      </c>
      <c r="W862" t="s">
        <v>958</v>
      </c>
      <c r="X862" t="s">
        <v>883</v>
      </c>
      <c r="Y862" t="s">
        <v>1643</v>
      </c>
      <c r="AA862" t="s">
        <v>419</v>
      </c>
      <c r="AB862">
        <v>0</v>
      </c>
      <c r="AK862" t="s">
        <v>642</v>
      </c>
      <c r="AL862" t="s">
        <v>290</v>
      </c>
    </row>
    <row r="863" spans="1:39">
      <c r="A863" s="146">
        <v>46218.580833333333</v>
      </c>
      <c r="B863" s="146">
        <v>46218</v>
      </c>
      <c r="C863">
        <v>2325374</v>
      </c>
      <c r="D863" t="s">
        <v>415</v>
      </c>
      <c r="E863" t="s">
        <v>659</v>
      </c>
      <c r="F863" t="s">
        <v>650</v>
      </c>
      <c r="G863" t="s">
        <v>216</v>
      </c>
      <c r="H863" t="s">
        <v>641</v>
      </c>
      <c r="I863" t="s">
        <v>1646</v>
      </c>
      <c r="J863">
        <v>800</v>
      </c>
      <c r="K863" s="141">
        <v>41.28</v>
      </c>
      <c r="O863" t="s">
        <v>1597</v>
      </c>
      <c r="P863">
        <v>0</v>
      </c>
      <c r="Q863" t="s">
        <v>1597</v>
      </c>
      <c r="R863" t="s">
        <v>1644</v>
      </c>
      <c r="U863">
        <v>27</v>
      </c>
      <c r="W863" t="s">
        <v>958</v>
      </c>
      <c r="X863" t="s">
        <v>883</v>
      </c>
      <c r="Y863" t="s">
        <v>1645</v>
      </c>
      <c r="AA863" t="s">
        <v>419</v>
      </c>
      <c r="AB863">
        <v>0</v>
      </c>
      <c r="AK863" t="s">
        <v>642</v>
      </c>
      <c r="AL863" t="s">
        <v>290</v>
      </c>
    </row>
    <row r="864" spans="1:39">
      <c r="A864" s="146">
        <v>46218.82099537037</v>
      </c>
      <c r="B864" s="146">
        <v>46218</v>
      </c>
      <c r="C864">
        <v>2020390</v>
      </c>
      <c r="D864" t="s">
        <v>382</v>
      </c>
      <c r="E864" t="s">
        <v>659</v>
      </c>
      <c r="F864" t="s">
        <v>650</v>
      </c>
      <c r="G864" t="s">
        <v>243</v>
      </c>
      <c r="H864" t="s">
        <v>641</v>
      </c>
      <c r="I864" t="s">
        <v>1648</v>
      </c>
      <c r="J864">
        <v>930</v>
      </c>
      <c r="K864" s="141">
        <v>32.457000000000001</v>
      </c>
      <c r="O864" t="s">
        <v>1597</v>
      </c>
      <c r="P864">
        <v>0</v>
      </c>
      <c r="Q864" t="s">
        <v>1597</v>
      </c>
      <c r="U864">
        <v>30</v>
      </c>
      <c r="W864" t="s">
        <v>958</v>
      </c>
      <c r="X864" t="s">
        <v>883</v>
      </c>
      <c r="Y864" t="s">
        <v>1647</v>
      </c>
      <c r="AA864" t="s">
        <v>419</v>
      </c>
      <c r="AB864">
        <v>0</v>
      </c>
      <c r="AK864" t="s">
        <v>642</v>
      </c>
      <c r="AL864" t="s">
        <v>290</v>
      </c>
    </row>
    <row r="865" spans="1:39">
      <c r="A865" s="146">
        <v>46218.856053240743</v>
      </c>
      <c r="B865" s="146">
        <v>46218</v>
      </c>
      <c r="C865">
        <v>2021645</v>
      </c>
      <c r="D865" t="s">
        <v>629</v>
      </c>
      <c r="E865" t="s">
        <v>643</v>
      </c>
      <c r="F865" t="s">
        <v>650</v>
      </c>
      <c r="G865" t="s">
        <v>223</v>
      </c>
      <c r="H865" t="s">
        <v>641</v>
      </c>
      <c r="I865" t="s">
        <v>94</v>
      </c>
      <c r="J865">
        <v>2330</v>
      </c>
      <c r="K865" s="141">
        <v>81.317000000000007</v>
      </c>
      <c r="O865" t="s">
        <v>1597</v>
      </c>
      <c r="P865">
        <v>0</v>
      </c>
      <c r="Q865" t="s">
        <v>1597</v>
      </c>
      <c r="U865">
        <v>42</v>
      </c>
      <c r="W865" t="s">
        <v>958</v>
      </c>
      <c r="X865" t="s">
        <v>883</v>
      </c>
      <c r="Y865" t="s">
        <v>1649</v>
      </c>
      <c r="AA865" t="s">
        <v>419</v>
      </c>
      <c r="AB865">
        <v>0</v>
      </c>
      <c r="AK865" t="s">
        <v>642</v>
      </c>
      <c r="AL865" t="s">
        <v>290</v>
      </c>
    </row>
    <row r="866" spans="1:39">
      <c r="A866" s="146">
        <v>46218.873611111114</v>
      </c>
      <c r="B866" s="146">
        <v>46218</v>
      </c>
      <c r="C866">
        <v>2241656</v>
      </c>
      <c r="D866" t="s">
        <v>409</v>
      </c>
      <c r="E866" t="s">
        <v>643</v>
      </c>
      <c r="F866" t="s">
        <v>650</v>
      </c>
      <c r="G866" t="s">
        <v>249</v>
      </c>
      <c r="H866" t="s">
        <v>641</v>
      </c>
      <c r="I866" t="s">
        <v>96</v>
      </c>
      <c r="J866">
        <v>3020</v>
      </c>
      <c r="K866" s="141">
        <v>54.058</v>
      </c>
      <c r="O866" t="s">
        <v>1650</v>
      </c>
      <c r="P866">
        <v>0</v>
      </c>
      <c r="Q866" t="s">
        <v>1650</v>
      </c>
      <c r="U866">
        <v>50</v>
      </c>
      <c r="W866" t="s">
        <v>958</v>
      </c>
      <c r="X866" t="s">
        <v>883</v>
      </c>
      <c r="Y866" t="s">
        <v>1651</v>
      </c>
      <c r="AA866" t="s">
        <v>419</v>
      </c>
      <c r="AB866">
        <v>0</v>
      </c>
      <c r="AK866" t="s">
        <v>642</v>
      </c>
      <c r="AL866" t="s">
        <v>290</v>
      </c>
    </row>
    <row r="867" spans="1:39">
      <c r="A867" s="146">
        <v>46218.873611111114</v>
      </c>
      <c r="B867" s="146">
        <v>46218</v>
      </c>
      <c r="C867">
        <v>2226596</v>
      </c>
      <c r="D867" t="s">
        <v>403</v>
      </c>
      <c r="E867" t="s">
        <v>643</v>
      </c>
      <c r="F867" t="s">
        <v>650</v>
      </c>
      <c r="G867" t="s">
        <v>225</v>
      </c>
      <c r="H867" t="s">
        <v>641</v>
      </c>
      <c r="I867" t="s">
        <v>89</v>
      </c>
      <c r="J867">
        <v>930</v>
      </c>
      <c r="K867" s="141">
        <v>31.75</v>
      </c>
      <c r="O867" t="s">
        <v>651</v>
      </c>
      <c r="P867">
        <v>2</v>
      </c>
      <c r="Q867" t="s">
        <v>651</v>
      </c>
      <c r="U867">
        <v>30</v>
      </c>
      <c r="W867">
        <v>805</v>
      </c>
      <c r="X867">
        <v>855</v>
      </c>
      <c r="Y867" t="s">
        <v>1651</v>
      </c>
      <c r="AA867" t="s">
        <v>419</v>
      </c>
      <c r="AB867">
        <v>0</v>
      </c>
      <c r="AK867" t="s">
        <v>642</v>
      </c>
      <c r="AL867" t="s">
        <v>290</v>
      </c>
    </row>
    <row r="868" spans="1:39">
      <c r="A868" s="146">
        <v>46218.873611111114</v>
      </c>
      <c r="B868" s="146">
        <v>46218</v>
      </c>
      <c r="C868">
        <v>2226596</v>
      </c>
      <c r="D868" t="s">
        <v>403</v>
      </c>
      <c r="E868" t="s">
        <v>643</v>
      </c>
      <c r="F868" t="s">
        <v>650</v>
      </c>
      <c r="G868" t="s">
        <v>228</v>
      </c>
      <c r="H868" t="s">
        <v>641</v>
      </c>
      <c r="I868" t="s">
        <v>88</v>
      </c>
      <c r="J868">
        <v>615</v>
      </c>
      <c r="K868" s="141">
        <v>30.65</v>
      </c>
      <c r="O868" t="s">
        <v>651</v>
      </c>
      <c r="P868">
        <v>1</v>
      </c>
      <c r="Q868" t="s">
        <v>651</v>
      </c>
      <c r="U868">
        <v>21</v>
      </c>
      <c r="W868" t="s">
        <v>958</v>
      </c>
      <c r="X868" t="s">
        <v>883</v>
      </c>
      <c r="Y868" t="s">
        <v>1651</v>
      </c>
      <c r="AA868" t="s">
        <v>419</v>
      </c>
      <c r="AB868">
        <v>0</v>
      </c>
      <c r="AK868" t="s">
        <v>642</v>
      </c>
      <c r="AL868" t="s">
        <v>290</v>
      </c>
    </row>
    <row r="869" spans="1:39">
      <c r="A869" s="146">
        <v>46218.897037037037</v>
      </c>
      <c r="B869" s="146">
        <v>46218</v>
      </c>
      <c r="C869">
        <v>2223535</v>
      </c>
      <c r="D869" t="s">
        <v>400</v>
      </c>
      <c r="E869" t="s">
        <v>643</v>
      </c>
      <c r="F869" t="s">
        <v>650</v>
      </c>
      <c r="G869" t="s">
        <v>429</v>
      </c>
      <c r="H869" t="s">
        <v>641</v>
      </c>
      <c r="I869" t="s">
        <v>86</v>
      </c>
      <c r="J869">
        <v>3210</v>
      </c>
      <c r="K869" s="141">
        <v>17.654999999999998</v>
      </c>
      <c r="O869" t="s">
        <v>1652</v>
      </c>
      <c r="P869">
        <v>0</v>
      </c>
      <c r="Q869" t="s">
        <v>1652</v>
      </c>
      <c r="R869" t="s">
        <v>1653</v>
      </c>
      <c r="U869">
        <v>60</v>
      </c>
      <c r="W869" t="s">
        <v>958</v>
      </c>
      <c r="X869" t="s">
        <v>883</v>
      </c>
      <c r="Y869" t="s">
        <v>1654</v>
      </c>
      <c r="AA869" t="s">
        <v>647</v>
      </c>
      <c r="AB869">
        <v>0</v>
      </c>
      <c r="AK869" t="s">
        <v>642</v>
      </c>
      <c r="AL869" t="s">
        <v>59</v>
      </c>
    </row>
    <row r="870" spans="1:39">
      <c r="A870" s="146">
        <v>46219.030127314814</v>
      </c>
      <c r="B870" s="146">
        <v>46218</v>
      </c>
      <c r="C870">
        <v>2325365</v>
      </c>
      <c r="D870" t="s">
        <v>414</v>
      </c>
      <c r="E870" t="s">
        <v>653</v>
      </c>
      <c r="F870" t="s">
        <v>654</v>
      </c>
      <c r="G870" t="s">
        <v>666</v>
      </c>
      <c r="H870" t="s">
        <v>641</v>
      </c>
      <c r="I870" t="s">
        <v>98</v>
      </c>
      <c r="J870">
        <v>3020</v>
      </c>
      <c r="K870" s="141">
        <v>60.701999999999998</v>
      </c>
      <c r="L870">
        <v>0</v>
      </c>
      <c r="N870">
        <v>60.701999999999998</v>
      </c>
      <c r="O870" t="s">
        <v>1652</v>
      </c>
      <c r="P870">
        <v>0</v>
      </c>
      <c r="Q870" t="s">
        <v>1652</v>
      </c>
      <c r="S870">
        <v>0</v>
      </c>
      <c r="T870">
        <v>1.3</v>
      </c>
      <c r="U870">
        <v>40</v>
      </c>
      <c r="V870">
        <v>0.96794871794871795</v>
      </c>
      <c r="W870" t="s">
        <v>958</v>
      </c>
      <c r="X870" t="s">
        <v>883</v>
      </c>
      <c r="Y870" t="s">
        <v>1655</v>
      </c>
      <c r="AA870" t="s">
        <v>647</v>
      </c>
      <c r="AB870">
        <v>0</v>
      </c>
      <c r="AJ870">
        <v>3020</v>
      </c>
      <c r="AK870" t="s">
        <v>642</v>
      </c>
      <c r="AL870" t="s">
        <v>290</v>
      </c>
      <c r="AM870">
        <v>2</v>
      </c>
    </row>
    <row r="871" spans="1:39">
      <c r="A871" s="146">
        <v>46219.192245370374</v>
      </c>
      <c r="B871" s="146">
        <v>46218</v>
      </c>
      <c r="C871">
        <v>1921551</v>
      </c>
      <c r="D871" t="s">
        <v>380</v>
      </c>
      <c r="E871" t="s">
        <v>653</v>
      </c>
      <c r="F871" t="s">
        <v>654</v>
      </c>
      <c r="G871" t="s">
        <v>1657</v>
      </c>
      <c r="H871" t="s">
        <v>641</v>
      </c>
      <c r="I871" t="s">
        <v>86</v>
      </c>
      <c r="J871">
        <v>3210</v>
      </c>
      <c r="K871" s="141">
        <v>30</v>
      </c>
      <c r="O871" t="s">
        <v>1652</v>
      </c>
      <c r="P871">
        <v>0</v>
      </c>
      <c r="Q871" t="s">
        <v>1652</v>
      </c>
      <c r="U871">
        <v>60</v>
      </c>
      <c r="W871" t="s">
        <v>958</v>
      </c>
      <c r="X871" t="s">
        <v>883</v>
      </c>
      <c r="Y871" t="s">
        <v>1656</v>
      </c>
      <c r="AA871" t="s">
        <v>647</v>
      </c>
      <c r="AB871">
        <v>0</v>
      </c>
      <c r="AK871" t="s">
        <v>642</v>
      </c>
      <c r="AL871" t="s">
        <v>59</v>
      </c>
    </row>
    <row r="872" spans="1:39">
      <c r="A872" s="146">
        <v>46219.192245370374</v>
      </c>
      <c r="B872" s="146">
        <v>46218</v>
      </c>
      <c r="C872">
        <v>1921551</v>
      </c>
      <c r="D872" t="s">
        <v>380</v>
      </c>
      <c r="E872" t="s">
        <v>653</v>
      </c>
      <c r="F872" t="s">
        <v>650</v>
      </c>
      <c r="G872" t="s">
        <v>229</v>
      </c>
      <c r="H872" t="s">
        <v>641</v>
      </c>
      <c r="I872" t="s">
        <v>97</v>
      </c>
      <c r="J872">
        <f>510+600</f>
        <v>1110</v>
      </c>
      <c r="K872" s="141">
        <v>60</v>
      </c>
      <c r="O872" t="s">
        <v>1652</v>
      </c>
      <c r="P872">
        <v>0</v>
      </c>
      <c r="Q872" t="s">
        <v>1652</v>
      </c>
      <c r="U872">
        <v>60</v>
      </c>
      <c r="W872" t="s">
        <v>958</v>
      </c>
      <c r="X872" t="s">
        <v>883</v>
      </c>
      <c r="Y872" t="s">
        <v>1656</v>
      </c>
      <c r="AA872" t="s">
        <v>647</v>
      </c>
      <c r="AB872">
        <v>0</v>
      </c>
      <c r="AK872" t="s">
        <v>642</v>
      </c>
      <c r="AL872" t="s">
        <v>59</v>
      </c>
    </row>
    <row r="873" spans="1:39">
      <c r="A873" s="146">
        <v>46219.20585648148</v>
      </c>
      <c r="B873" s="146">
        <v>46218</v>
      </c>
      <c r="C873">
        <v>2221908</v>
      </c>
      <c r="D873" t="s">
        <v>398</v>
      </c>
      <c r="E873" t="s">
        <v>653</v>
      </c>
      <c r="F873" t="s">
        <v>650</v>
      </c>
      <c r="G873" t="s">
        <v>228</v>
      </c>
      <c r="H873" t="s">
        <v>641</v>
      </c>
      <c r="I873" t="s">
        <v>1665</v>
      </c>
      <c r="J873">
        <v>1230</v>
      </c>
      <c r="K873" s="141">
        <v>0</v>
      </c>
      <c r="O873" t="s">
        <v>651</v>
      </c>
      <c r="P873">
        <v>1</v>
      </c>
      <c r="Q873" t="s">
        <v>651</v>
      </c>
      <c r="U873">
        <v>21</v>
      </c>
      <c r="W873" t="s">
        <v>958</v>
      </c>
      <c r="X873" t="s">
        <v>883</v>
      </c>
      <c r="Y873" t="s">
        <v>1661</v>
      </c>
      <c r="AA873" t="s">
        <v>652</v>
      </c>
      <c r="AB873">
        <v>0</v>
      </c>
      <c r="AK873" t="s">
        <v>642</v>
      </c>
      <c r="AL873" t="s">
        <v>59</v>
      </c>
    </row>
    <row r="874" spans="1:39">
      <c r="A874" s="146">
        <v>46219.206967592596</v>
      </c>
      <c r="B874" s="146">
        <v>46218</v>
      </c>
      <c r="C874">
        <v>2221908</v>
      </c>
      <c r="D874" t="s">
        <v>398</v>
      </c>
      <c r="E874" t="s">
        <v>653</v>
      </c>
      <c r="F874" t="s">
        <v>650</v>
      </c>
      <c r="G874" t="s">
        <v>225</v>
      </c>
      <c r="H874" t="s">
        <v>641</v>
      </c>
      <c r="I874" t="s">
        <v>1666</v>
      </c>
      <c r="J874">
        <v>1430</v>
      </c>
      <c r="K874" s="141">
        <v>0</v>
      </c>
      <c r="O874" t="s">
        <v>651</v>
      </c>
      <c r="P874">
        <v>2</v>
      </c>
      <c r="Q874" t="s">
        <v>651</v>
      </c>
      <c r="U874">
        <v>30</v>
      </c>
      <c r="W874" t="s">
        <v>958</v>
      </c>
      <c r="X874" t="s">
        <v>883</v>
      </c>
      <c r="Y874" t="s">
        <v>1662</v>
      </c>
      <c r="AA874" t="s">
        <v>652</v>
      </c>
      <c r="AB874">
        <v>0</v>
      </c>
      <c r="AK874" t="s">
        <v>642</v>
      </c>
      <c r="AL874" t="s">
        <v>59</v>
      </c>
    </row>
    <row r="875" spans="1:39">
      <c r="A875" s="146">
        <v>46219.219907407409</v>
      </c>
      <c r="B875" s="146">
        <v>46218</v>
      </c>
      <c r="C875">
        <v>2022158</v>
      </c>
      <c r="D875" t="s">
        <v>394</v>
      </c>
      <c r="E875" t="s">
        <v>653</v>
      </c>
      <c r="F875" t="s">
        <v>654</v>
      </c>
      <c r="G875" t="s">
        <v>1216</v>
      </c>
      <c r="H875" t="s">
        <v>641</v>
      </c>
      <c r="I875" t="s">
        <v>99</v>
      </c>
      <c r="J875">
        <v>1100</v>
      </c>
      <c r="K875" s="141">
        <v>153.34</v>
      </c>
      <c r="L875">
        <v>0</v>
      </c>
      <c r="N875">
        <v>153.34</v>
      </c>
      <c r="O875" t="s">
        <v>1663</v>
      </c>
      <c r="P875">
        <v>0</v>
      </c>
      <c r="Q875" t="s">
        <v>1663</v>
      </c>
      <c r="S875">
        <v>0</v>
      </c>
      <c r="T875">
        <v>1.8</v>
      </c>
      <c r="U875">
        <v>10</v>
      </c>
      <c r="V875">
        <v>1.0185185185185186</v>
      </c>
      <c r="W875" t="s">
        <v>958</v>
      </c>
      <c r="X875" t="s">
        <v>883</v>
      </c>
      <c r="Y875" t="s">
        <v>1668</v>
      </c>
      <c r="AA875" t="s">
        <v>419</v>
      </c>
      <c r="AB875">
        <v>0</v>
      </c>
      <c r="AG875">
        <v>3</v>
      </c>
      <c r="AH875">
        <v>1100</v>
      </c>
      <c r="AK875" t="s">
        <v>642</v>
      </c>
      <c r="AL875" t="s">
        <v>290</v>
      </c>
      <c r="AM875">
        <v>2</v>
      </c>
    </row>
    <row r="876" spans="1:39">
      <c r="A876" s="146">
        <v>46219.234444444446</v>
      </c>
      <c r="B876" s="146">
        <v>46218</v>
      </c>
      <c r="C876">
        <v>2325310</v>
      </c>
      <c r="D876" t="s">
        <v>413</v>
      </c>
      <c r="E876" t="s">
        <v>653</v>
      </c>
      <c r="F876" t="s">
        <v>650</v>
      </c>
      <c r="G876" t="s">
        <v>481</v>
      </c>
      <c r="H876" t="s">
        <v>641</v>
      </c>
      <c r="I876" t="s">
        <v>1673</v>
      </c>
      <c r="J876">
        <v>840</v>
      </c>
      <c r="K876" s="141">
        <v>67.367999999999995</v>
      </c>
      <c r="O876" t="s">
        <v>1663</v>
      </c>
      <c r="P876">
        <v>0</v>
      </c>
      <c r="Q876" t="s">
        <v>1663</v>
      </c>
      <c r="U876">
        <v>13.5</v>
      </c>
      <c r="W876" t="s">
        <v>958</v>
      </c>
      <c r="X876" t="s">
        <v>883</v>
      </c>
      <c r="Y876" t="s">
        <v>1672</v>
      </c>
      <c r="AA876" t="s">
        <v>419</v>
      </c>
      <c r="AB876">
        <v>0</v>
      </c>
      <c r="AK876" t="s">
        <v>642</v>
      </c>
      <c r="AL876" t="s">
        <v>290</v>
      </c>
    </row>
    <row r="877" spans="1:39">
      <c r="A877" s="146">
        <v>46219.236932870372</v>
      </c>
      <c r="B877" s="146">
        <v>46218</v>
      </c>
      <c r="C877">
        <v>2020965</v>
      </c>
      <c r="D877" t="s">
        <v>386</v>
      </c>
      <c r="E877" t="s">
        <v>653</v>
      </c>
      <c r="F877" t="s">
        <v>650</v>
      </c>
      <c r="G877" t="s">
        <v>258</v>
      </c>
      <c r="H877" t="s">
        <v>641</v>
      </c>
      <c r="I877" t="s">
        <v>1678</v>
      </c>
      <c r="J877">
        <v>5020</v>
      </c>
      <c r="K877" s="141">
        <v>89.85799999999999</v>
      </c>
      <c r="O877" t="s">
        <v>1674</v>
      </c>
      <c r="P877">
        <v>0</v>
      </c>
      <c r="Q877" t="s">
        <v>1674</v>
      </c>
      <c r="U877">
        <v>50</v>
      </c>
      <c r="W877" t="s">
        <v>958</v>
      </c>
      <c r="X877" t="s">
        <v>883</v>
      </c>
      <c r="Y877" t="s">
        <v>1675</v>
      </c>
      <c r="AA877" t="s">
        <v>647</v>
      </c>
      <c r="AB877">
        <v>0</v>
      </c>
      <c r="AK877" t="s">
        <v>642</v>
      </c>
      <c r="AL877" t="s">
        <v>290</v>
      </c>
    </row>
    <row r="878" spans="1:39">
      <c r="A878" s="146">
        <v>46219.238842592589</v>
      </c>
      <c r="B878" s="146">
        <v>46218</v>
      </c>
      <c r="C878">
        <v>2020965</v>
      </c>
      <c r="D878" t="s">
        <v>386</v>
      </c>
      <c r="E878" t="s">
        <v>653</v>
      </c>
      <c r="F878" t="s">
        <v>650</v>
      </c>
      <c r="G878" t="s">
        <v>254</v>
      </c>
      <c r="H878" t="s">
        <v>641</v>
      </c>
      <c r="I878" t="s">
        <v>1679</v>
      </c>
      <c r="J878">
        <v>1230</v>
      </c>
      <c r="K878" s="141">
        <v>63.468000000000004</v>
      </c>
      <c r="O878" t="s">
        <v>1676</v>
      </c>
      <c r="P878">
        <v>0</v>
      </c>
      <c r="Q878" t="s">
        <v>1676</v>
      </c>
      <c r="U878">
        <v>27</v>
      </c>
      <c r="W878" t="s">
        <v>958</v>
      </c>
      <c r="X878" t="s">
        <v>883</v>
      </c>
      <c r="Y878" t="s">
        <v>1677</v>
      </c>
      <c r="AA878" t="s">
        <v>419</v>
      </c>
      <c r="AB878">
        <v>0</v>
      </c>
      <c r="AK878" t="s">
        <v>642</v>
      </c>
      <c r="AL878" t="s">
        <v>290</v>
      </c>
    </row>
    <row r="879" spans="1:39">
      <c r="A879" s="146">
        <v>46219.467800925922</v>
      </c>
      <c r="B879" s="146">
        <v>46219</v>
      </c>
      <c r="C879">
        <v>2325374</v>
      </c>
      <c r="D879" t="s">
        <v>415</v>
      </c>
      <c r="E879" t="s">
        <v>659</v>
      </c>
      <c r="F879" t="s">
        <v>650</v>
      </c>
      <c r="G879" t="s">
        <v>254</v>
      </c>
      <c r="H879" t="s">
        <v>641</v>
      </c>
      <c r="I879" t="s">
        <v>1684</v>
      </c>
      <c r="J879">
        <v>1100</v>
      </c>
      <c r="K879" s="141">
        <v>56.76</v>
      </c>
      <c r="O879" t="s">
        <v>1676</v>
      </c>
      <c r="P879">
        <v>0</v>
      </c>
      <c r="Q879" t="s">
        <v>1676</v>
      </c>
      <c r="R879" t="s">
        <v>1682</v>
      </c>
      <c r="U879">
        <v>27</v>
      </c>
      <c r="W879" t="s">
        <v>958</v>
      </c>
      <c r="X879" t="s">
        <v>883</v>
      </c>
      <c r="Y879" t="s">
        <v>1683</v>
      </c>
      <c r="AA879" t="s">
        <v>419</v>
      </c>
      <c r="AB879">
        <v>0</v>
      </c>
      <c r="AK879" t="s">
        <v>642</v>
      </c>
      <c r="AL879" t="s">
        <v>290</v>
      </c>
    </row>
    <row r="880" spans="1:39">
      <c r="A880" s="146">
        <v>46219.490763888891</v>
      </c>
      <c r="B880" s="146">
        <v>46219</v>
      </c>
      <c r="C880">
        <v>2325301</v>
      </c>
      <c r="D880" t="s">
        <v>412</v>
      </c>
      <c r="E880" t="s">
        <v>659</v>
      </c>
      <c r="F880" t="s">
        <v>654</v>
      </c>
      <c r="G880" t="s">
        <v>1216</v>
      </c>
      <c r="H880" t="s">
        <v>641</v>
      </c>
      <c r="I880" t="s">
        <v>99</v>
      </c>
      <c r="J880">
        <v>420</v>
      </c>
      <c r="K880" s="141">
        <v>58.548000000000002</v>
      </c>
      <c r="L880">
        <v>0</v>
      </c>
      <c r="M880">
        <v>0</v>
      </c>
      <c r="N880">
        <v>58.548000000000002</v>
      </c>
      <c r="O880" t="s">
        <v>1676</v>
      </c>
      <c r="P880">
        <v>0</v>
      </c>
      <c r="Q880" t="s">
        <v>1676</v>
      </c>
      <c r="S880">
        <v>0</v>
      </c>
      <c r="T880">
        <v>0.7</v>
      </c>
      <c r="U880">
        <v>10</v>
      </c>
      <c r="V880">
        <v>1</v>
      </c>
      <c r="W880" t="s">
        <v>958</v>
      </c>
      <c r="X880" t="s">
        <v>883</v>
      </c>
      <c r="Y880" t="s">
        <v>1685</v>
      </c>
      <c r="AA880" t="s">
        <v>419</v>
      </c>
      <c r="AB880">
        <v>0</v>
      </c>
      <c r="AG880">
        <v>1</v>
      </c>
      <c r="AH880">
        <v>420</v>
      </c>
      <c r="AK880" t="s">
        <v>642</v>
      </c>
      <c r="AL880" t="s">
        <v>290</v>
      </c>
      <c r="AM880">
        <v>2</v>
      </c>
    </row>
    <row r="881" spans="1:39">
      <c r="A881" s="146">
        <v>46219.490763888891</v>
      </c>
      <c r="B881" s="146">
        <v>46219</v>
      </c>
      <c r="C881">
        <v>2325301</v>
      </c>
      <c r="D881" t="s">
        <v>412</v>
      </c>
      <c r="E881" t="s">
        <v>659</v>
      </c>
      <c r="F881" t="s">
        <v>654</v>
      </c>
      <c r="G881" t="s">
        <v>240</v>
      </c>
      <c r="H881" t="s">
        <v>641</v>
      </c>
      <c r="I881" t="s">
        <v>99</v>
      </c>
      <c r="J881">
        <v>210</v>
      </c>
      <c r="K881" s="141">
        <v>30</v>
      </c>
      <c r="O881" t="s">
        <v>1676</v>
      </c>
      <c r="P881">
        <v>0</v>
      </c>
      <c r="Q881" t="s">
        <v>1676</v>
      </c>
      <c r="U881">
        <v>10</v>
      </c>
      <c r="W881" t="s">
        <v>958</v>
      </c>
      <c r="X881" t="s">
        <v>883</v>
      </c>
      <c r="Y881" t="s">
        <v>1685</v>
      </c>
      <c r="AA881" t="s">
        <v>419</v>
      </c>
      <c r="AB881">
        <v>0</v>
      </c>
      <c r="AK881" t="s">
        <v>642</v>
      </c>
      <c r="AL881" t="s">
        <v>290</v>
      </c>
    </row>
    <row r="882" spans="1:39">
      <c r="A882" s="146">
        <v>46219.490763888891</v>
      </c>
      <c r="B882" s="146">
        <v>46219</v>
      </c>
      <c r="C882">
        <v>2243991</v>
      </c>
      <c r="D882" t="s">
        <v>410</v>
      </c>
      <c r="E882" t="s">
        <v>659</v>
      </c>
      <c r="F882" t="s">
        <v>650</v>
      </c>
      <c r="G882" t="s">
        <v>228</v>
      </c>
      <c r="H882" t="s">
        <v>641</v>
      </c>
      <c r="I882" t="s">
        <v>1695</v>
      </c>
      <c r="J882">
        <v>1630</v>
      </c>
      <c r="K882" s="141">
        <v>64</v>
      </c>
      <c r="O882" t="s">
        <v>651</v>
      </c>
      <c r="P882">
        <v>1</v>
      </c>
      <c r="Q882" t="s">
        <v>651</v>
      </c>
      <c r="R882" t="s">
        <v>1686</v>
      </c>
      <c r="U882">
        <v>21</v>
      </c>
      <c r="W882" t="s">
        <v>958</v>
      </c>
      <c r="X882" t="s">
        <v>883</v>
      </c>
      <c r="Y882" t="s">
        <v>1661</v>
      </c>
      <c r="AA882" t="s">
        <v>652</v>
      </c>
      <c r="AB882">
        <v>0</v>
      </c>
      <c r="AK882" t="s">
        <v>642</v>
      </c>
      <c r="AL882" t="s">
        <v>59</v>
      </c>
      <c r="AM882">
        <v>2</v>
      </c>
    </row>
    <row r="883" spans="1:39">
      <c r="A883" s="146">
        <v>46219.493576388886</v>
      </c>
      <c r="B883" s="146">
        <v>46219</v>
      </c>
      <c r="C883">
        <v>2224358</v>
      </c>
      <c r="D883" t="s">
        <v>417</v>
      </c>
      <c r="E883" t="s">
        <v>659</v>
      </c>
      <c r="F883" t="s">
        <v>650</v>
      </c>
      <c r="G883" t="s">
        <v>223</v>
      </c>
      <c r="H883" t="s">
        <v>641</v>
      </c>
      <c r="I883" t="s">
        <v>94</v>
      </c>
      <c r="J883">
        <v>1860</v>
      </c>
      <c r="K883" s="141">
        <v>64.914000000000001</v>
      </c>
      <c r="O883" t="s">
        <v>1676</v>
      </c>
      <c r="P883">
        <v>0</v>
      </c>
      <c r="Q883" t="s">
        <v>1676</v>
      </c>
      <c r="R883" t="s">
        <v>1687</v>
      </c>
      <c r="U883">
        <v>42</v>
      </c>
      <c r="W883" t="s">
        <v>958</v>
      </c>
      <c r="X883" t="s">
        <v>883</v>
      </c>
      <c r="Y883" t="s">
        <v>1688</v>
      </c>
      <c r="AA883" t="s">
        <v>419</v>
      </c>
      <c r="AB883">
        <v>0</v>
      </c>
      <c r="AK883" t="s">
        <v>642</v>
      </c>
      <c r="AL883" t="s">
        <v>290</v>
      </c>
    </row>
    <row r="884" spans="1:39">
      <c r="A884" s="146">
        <v>46219.500439814816</v>
      </c>
      <c r="B884" s="146">
        <v>46219</v>
      </c>
      <c r="C884">
        <v>2325374</v>
      </c>
      <c r="D884" t="s">
        <v>415</v>
      </c>
      <c r="E884" t="s">
        <v>659</v>
      </c>
      <c r="F884" t="s">
        <v>650</v>
      </c>
      <c r="G884" t="s">
        <v>1692</v>
      </c>
      <c r="H884" t="s">
        <v>641</v>
      </c>
      <c r="I884" t="s">
        <v>1693</v>
      </c>
      <c r="J884">
        <v>1600</v>
      </c>
      <c r="K884" s="141">
        <v>28.64</v>
      </c>
      <c r="O884" t="s">
        <v>997</v>
      </c>
      <c r="P884">
        <v>0</v>
      </c>
      <c r="Q884" t="s">
        <v>997</v>
      </c>
      <c r="R884" t="s">
        <v>1690</v>
      </c>
      <c r="U884">
        <v>50</v>
      </c>
      <c r="W884" t="s">
        <v>958</v>
      </c>
      <c r="X884" t="s">
        <v>883</v>
      </c>
      <c r="Y884" t="s">
        <v>1691</v>
      </c>
      <c r="AA884" t="s">
        <v>647</v>
      </c>
      <c r="AB884">
        <v>0</v>
      </c>
      <c r="AK884" t="s">
        <v>642</v>
      </c>
      <c r="AL884" t="s">
        <v>290</v>
      </c>
    </row>
    <row r="885" spans="1:39">
      <c r="A885" s="146">
        <v>46219.501331018517</v>
      </c>
      <c r="B885" s="146">
        <v>46219</v>
      </c>
      <c r="C885">
        <v>2325374</v>
      </c>
      <c r="D885" t="s">
        <v>415</v>
      </c>
      <c r="E885" t="s">
        <v>659</v>
      </c>
      <c r="F885" t="s">
        <v>650</v>
      </c>
      <c r="G885" t="s">
        <v>1689</v>
      </c>
      <c r="H885" t="s">
        <v>641</v>
      </c>
      <c r="I885" t="s">
        <v>96</v>
      </c>
      <c r="J885">
        <v>1510</v>
      </c>
      <c r="K885" s="141">
        <v>27.029</v>
      </c>
      <c r="O885" t="s">
        <v>997</v>
      </c>
      <c r="P885">
        <v>0</v>
      </c>
      <c r="Q885" t="s">
        <v>997</v>
      </c>
      <c r="R885" t="s">
        <v>1690</v>
      </c>
      <c r="U885">
        <v>50</v>
      </c>
      <c r="W885" t="s">
        <v>958</v>
      </c>
      <c r="X885" t="s">
        <v>883</v>
      </c>
      <c r="Y885" t="s">
        <v>1694</v>
      </c>
      <c r="AA885" t="s">
        <v>647</v>
      </c>
      <c r="AB885">
        <v>0</v>
      </c>
      <c r="AK885" t="s">
        <v>642</v>
      </c>
      <c r="AL885" t="s">
        <v>290</v>
      </c>
    </row>
    <row r="886" spans="1:39">
      <c r="A886" s="146">
        <v>46219.538622685184</v>
      </c>
      <c r="B886" s="146">
        <v>46219</v>
      </c>
      <c r="C886">
        <v>2021742</v>
      </c>
      <c r="D886" t="s">
        <v>391</v>
      </c>
      <c r="E886" t="s">
        <v>659</v>
      </c>
      <c r="F886" t="s">
        <v>650</v>
      </c>
      <c r="G886" t="s">
        <v>226</v>
      </c>
      <c r="H886" t="s">
        <v>641</v>
      </c>
      <c r="I886" t="s">
        <v>1700</v>
      </c>
      <c r="J886">
        <v>3210</v>
      </c>
      <c r="K886" s="141">
        <v>27.927</v>
      </c>
      <c r="O886" t="s">
        <v>997</v>
      </c>
      <c r="P886">
        <v>0</v>
      </c>
      <c r="Q886" t="s">
        <v>997</v>
      </c>
      <c r="U886">
        <v>60</v>
      </c>
      <c r="W886" t="s">
        <v>958</v>
      </c>
      <c r="X886" t="s">
        <v>883</v>
      </c>
      <c r="Y886" t="s">
        <v>1696</v>
      </c>
      <c r="AA886" t="s">
        <v>647</v>
      </c>
      <c r="AB886">
        <v>0</v>
      </c>
      <c r="AK886" t="s">
        <v>642</v>
      </c>
      <c r="AL886" t="s">
        <v>59</v>
      </c>
    </row>
    <row r="887" spans="1:39">
      <c r="A887" s="146">
        <v>46219.539826388886</v>
      </c>
      <c r="B887" s="146">
        <v>46219</v>
      </c>
      <c r="C887">
        <v>2021742</v>
      </c>
      <c r="D887" t="s">
        <v>391</v>
      </c>
      <c r="E887" t="s">
        <v>659</v>
      </c>
      <c r="F887" t="s">
        <v>650</v>
      </c>
      <c r="G887" t="s">
        <v>229</v>
      </c>
      <c r="H887" t="s">
        <v>641</v>
      </c>
      <c r="I887" t="s">
        <v>1701</v>
      </c>
      <c r="J887">
        <v>2040</v>
      </c>
      <c r="K887" s="141">
        <v>145.85999999999999</v>
      </c>
      <c r="O887" t="s">
        <v>1676</v>
      </c>
      <c r="P887">
        <v>0</v>
      </c>
      <c r="Q887" t="s">
        <v>1676</v>
      </c>
      <c r="U887">
        <v>17</v>
      </c>
      <c r="W887" t="s">
        <v>958</v>
      </c>
      <c r="X887" t="s">
        <v>883</v>
      </c>
      <c r="Y887" t="s">
        <v>1697</v>
      </c>
      <c r="AA887" t="s">
        <v>419</v>
      </c>
      <c r="AB887">
        <v>0</v>
      </c>
      <c r="AK887" t="s">
        <v>642</v>
      </c>
      <c r="AL887" t="s">
        <v>290</v>
      </c>
    </row>
    <row r="888" spans="1:39">
      <c r="A888" s="146">
        <v>46219.56045138889</v>
      </c>
      <c r="B888" s="146">
        <v>46219</v>
      </c>
      <c r="C888">
        <v>2220255</v>
      </c>
      <c r="D888" t="s">
        <v>396</v>
      </c>
      <c r="E888" t="s">
        <v>659</v>
      </c>
      <c r="F888" t="s">
        <v>650</v>
      </c>
      <c r="G888" t="s">
        <v>256</v>
      </c>
      <c r="H888" t="s">
        <v>641</v>
      </c>
      <c r="I888" t="s">
        <v>93</v>
      </c>
      <c r="J888">
        <v>615</v>
      </c>
      <c r="K888" s="141">
        <v>27.736499999999999</v>
      </c>
      <c r="O888" t="s">
        <v>1676</v>
      </c>
      <c r="P888">
        <v>0</v>
      </c>
      <c r="Q888" t="s">
        <v>1676</v>
      </c>
      <c r="U888">
        <v>40</v>
      </c>
      <c r="W888" t="s">
        <v>958</v>
      </c>
      <c r="X888" t="s">
        <v>883</v>
      </c>
      <c r="Y888" t="s">
        <v>1698</v>
      </c>
      <c r="AA888" t="s">
        <v>419</v>
      </c>
      <c r="AB888">
        <v>0</v>
      </c>
      <c r="AK888" t="s">
        <v>642</v>
      </c>
      <c r="AL888" t="s">
        <v>290</v>
      </c>
    </row>
    <row r="889" spans="1:39">
      <c r="A889" s="146">
        <v>46219.56045138889</v>
      </c>
      <c r="B889" s="146">
        <v>46219</v>
      </c>
      <c r="C889">
        <v>2220255</v>
      </c>
      <c r="D889" t="s">
        <v>396</v>
      </c>
      <c r="E889" t="s">
        <v>659</v>
      </c>
      <c r="F889" t="s">
        <v>650</v>
      </c>
      <c r="G889" t="s">
        <v>256</v>
      </c>
      <c r="H889" t="s">
        <v>641</v>
      </c>
      <c r="I889" t="s">
        <v>1699</v>
      </c>
      <c r="J889">
        <v>1230</v>
      </c>
      <c r="K889" s="141">
        <v>27.736499999999999</v>
      </c>
      <c r="O889" t="s">
        <v>1676</v>
      </c>
      <c r="P889">
        <v>0</v>
      </c>
      <c r="Q889" t="s">
        <v>1676</v>
      </c>
      <c r="U889">
        <v>40</v>
      </c>
      <c r="W889" t="s">
        <v>958</v>
      </c>
      <c r="X889" t="s">
        <v>883</v>
      </c>
      <c r="Y889" t="s">
        <v>1698</v>
      </c>
      <c r="AA889" t="s">
        <v>419</v>
      </c>
      <c r="AB889">
        <v>0</v>
      </c>
      <c r="AK889" t="s">
        <v>642</v>
      </c>
      <c r="AL889" t="s">
        <v>290</v>
      </c>
    </row>
    <row r="890" spans="1:39">
      <c r="A890" s="146">
        <v>46219.56045138889</v>
      </c>
      <c r="B890" s="146">
        <v>46219</v>
      </c>
      <c r="C890">
        <v>2222785</v>
      </c>
      <c r="D890" t="s">
        <v>399</v>
      </c>
      <c r="E890" t="s">
        <v>659</v>
      </c>
      <c r="F890" t="s">
        <v>650</v>
      </c>
      <c r="G890" t="s">
        <v>259</v>
      </c>
      <c r="H890" t="s">
        <v>641</v>
      </c>
      <c r="I890" t="s">
        <v>82</v>
      </c>
      <c r="J890">
        <v>930</v>
      </c>
      <c r="K890" s="141">
        <v>31.75</v>
      </c>
      <c r="O890" t="s">
        <v>651</v>
      </c>
      <c r="P890">
        <v>2</v>
      </c>
      <c r="Q890" t="s">
        <v>651</v>
      </c>
      <c r="U890">
        <v>30</v>
      </c>
      <c r="W890">
        <v>805</v>
      </c>
      <c r="X890">
        <v>855</v>
      </c>
      <c r="Y890" t="s">
        <v>1651</v>
      </c>
      <c r="AA890" t="s">
        <v>419</v>
      </c>
      <c r="AB890">
        <v>0</v>
      </c>
      <c r="AK890" t="s">
        <v>642</v>
      </c>
      <c r="AL890" t="s">
        <v>290</v>
      </c>
    </row>
    <row r="891" spans="1:39">
      <c r="A891" s="146">
        <v>46219.56045138889</v>
      </c>
      <c r="B891" s="146">
        <v>46219</v>
      </c>
      <c r="C891">
        <v>2222785</v>
      </c>
      <c r="D891" t="s">
        <v>399</v>
      </c>
      <c r="E891" t="s">
        <v>659</v>
      </c>
      <c r="F891" t="s">
        <v>650</v>
      </c>
      <c r="G891" t="s">
        <v>249</v>
      </c>
      <c r="H891" t="s">
        <v>641</v>
      </c>
      <c r="I891" t="s">
        <v>98</v>
      </c>
      <c r="J891">
        <v>3020</v>
      </c>
      <c r="K891" s="141">
        <v>54.06</v>
      </c>
      <c r="L891">
        <v>0</v>
      </c>
      <c r="N891">
        <v>27.029</v>
      </c>
      <c r="O891" t="s">
        <v>1616</v>
      </c>
      <c r="P891">
        <v>0</v>
      </c>
      <c r="Q891" t="s">
        <v>1616</v>
      </c>
      <c r="S891">
        <v>0</v>
      </c>
      <c r="T891">
        <v>0.5</v>
      </c>
      <c r="U891">
        <v>50</v>
      </c>
      <c r="V891">
        <v>1.0066666666666666</v>
      </c>
      <c r="W891" t="s">
        <v>958</v>
      </c>
      <c r="X891" t="s">
        <v>883</v>
      </c>
      <c r="Y891" t="s">
        <v>1628</v>
      </c>
      <c r="AA891" t="s">
        <v>647</v>
      </c>
      <c r="AB891">
        <v>0</v>
      </c>
      <c r="AG891">
        <v>1</v>
      </c>
      <c r="AH891">
        <v>1510</v>
      </c>
      <c r="AK891" t="s">
        <v>642</v>
      </c>
      <c r="AL891" t="s">
        <v>290</v>
      </c>
      <c r="AM891">
        <v>2</v>
      </c>
    </row>
    <row r="892" spans="1:39">
      <c r="A892" s="146">
        <v>46219.84578703704</v>
      </c>
      <c r="B892" s="146">
        <v>46219</v>
      </c>
      <c r="C892">
        <v>2222332</v>
      </c>
      <c r="D892" t="s">
        <v>406</v>
      </c>
      <c r="E892" t="s">
        <v>643</v>
      </c>
      <c r="F892" t="s">
        <v>650</v>
      </c>
      <c r="G892" t="s">
        <v>481</v>
      </c>
      <c r="H892" t="s">
        <v>641</v>
      </c>
      <c r="I892" t="s">
        <v>101</v>
      </c>
      <c r="J892">
        <v>1370</v>
      </c>
      <c r="K892" s="141">
        <v>109.874</v>
      </c>
      <c r="O892" t="s">
        <v>1676</v>
      </c>
      <c r="P892">
        <v>0</v>
      </c>
      <c r="Q892" t="s">
        <v>1676</v>
      </c>
      <c r="U892">
        <v>13.5</v>
      </c>
      <c r="W892" t="s">
        <v>958</v>
      </c>
      <c r="X892" t="s">
        <v>883</v>
      </c>
      <c r="Y892" t="s">
        <v>1702</v>
      </c>
      <c r="AA892" t="s">
        <v>419</v>
      </c>
      <c r="AB892">
        <v>0</v>
      </c>
      <c r="AK892" t="s">
        <v>642</v>
      </c>
      <c r="AL892" t="s">
        <v>290</v>
      </c>
    </row>
    <row r="893" spans="1:39">
      <c r="A893" s="146">
        <v>46219.854722222219</v>
      </c>
      <c r="B893" s="146">
        <v>46219</v>
      </c>
      <c r="C893">
        <v>2020390</v>
      </c>
      <c r="D893" t="s">
        <v>382</v>
      </c>
      <c r="E893" t="s">
        <v>643</v>
      </c>
      <c r="F893" t="s">
        <v>650</v>
      </c>
      <c r="G893" t="s">
        <v>243</v>
      </c>
      <c r="H893" t="s">
        <v>641</v>
      </c>
      <c r="I893" t="s">
        <v>1704</v>
      </c>
      <c r="J893">
        <v>930</v>
      </c>
      <c r="K893" s="141">
        <v>32.457000000000001</v>
      </c>
      <c r="O893" t="s">
        <v>1676</v>
      </c>
      <c r="P893">
        <v>0</v>
      </c>
      <c r="Q893" t="s">
        <v>1676</v>
      </c>
      <c r="U893">
        <v>30</v>
      </c>
      <c r="W893" t="s">
        <v>958</v>
      </c>
      <c r="X893" t="s">
        <v>883</v>
      </c>
      <c r="Y893" t="s">
        <v>1703</v>
      </c>
      <c r="AA893" t="s">
        <v>419</v>
      </c>
      <c r="AB893">
        <v>0</v>
      </c>
      <c r="AK893" t="s">
        <v>642</v>
      </c>
      <c r="AL893" t="s">
        <v>290</v>
      </c>
    </row>
    <row r="894" spans="1:39">
      <c r="A894" s="146">
        <v>46219.854722222219</v>
      </c>
      <c r="B894" s="146">
        <v>46219</v>
      </c>
      <c r="C894">
        <v>2226596</v>
      </c>
      <c r="D894" t="s">
        <v>403</v>
      </c>
      <c r="E894" t="s">
        <v>643</v>
      </c>
      <c r="F894" t="s">
        <v>650</v>
      </c>
      <c r="G894" t="s">
        <v>225</v>
      </c>
      <c r="H894" t="s">
        <v>641</v>
      </c>
      <c r="I894" t="s">
        <v>1705</v>
      </c>
      <c r="J894">
        <v>930</v>
      </c>
      <c r="K894" s="141">
        <v>31.75</v>
      </c>
      <c r="O894" t="s">
        <v>651</v>
      </c>
      <c r="P894">
        <v>2</v>
      </c>
      <c r="Q894" t="s">
        <v>651</v>
      </c>
      <c r="U894">
        <v>30</v>
      </c>
      <c r="W894" t="s">
        <v>958</v>
      </c>
      <c r="X894" t="s">
        <v>883</v>
      </c>
      <c r="Y894" t="s">
        <v>1703</v>
      </c>
      <c r="AA894" t="s">
        <v>419</v>
      </c>
      <c r="AB894">
        <v>0</v>
      </c>
      <c r="AK894" t="s">
        <v>642</v>
      </c>
      <c r="AL894" t="s">
        <v>290</v>
      </c>
    </row>
    <row r="895" spans="1:39">
      <c r="A895" s="146">
        <v>46219.854722222219</v>
      </c>
      <c r="B895" s="146">
        <v>46219</v>
      </c>
      <c r="C895">
        <v>2226596</v>
      </c>
      <c r="D895" t="s">
        <v>403</v>
      </c>
      <c r="E895" t="s">
        <v>643</v>
      </c>
      <c r="F895" t="s">
        <v>650</v>
      </c>
      <c r="G895" t="s">
        <v>228</v>
      </c>
      <c r="H895" t="s">
        <v>641</v>
      </c>
      <c r="I895" t="s">
        <v>1706</v>
      </c>
      <c r="J895">
        <v>350</v>
      </c>
      <c r="K895" s="141">
        <v>15.26</v>
      </c>
      <c r="O895" t="s">
        <v>651</v>
      </c>
      <c r="P895">
        <v>1</v>
      </c>
      <c r="Q895" t="s">
        <v>651</v>
      </c>
      <c r="U895">
        <v>21</v>
      </c>
      <c r="W895" t="s">
        <v>958</v>
      </c>
      <c r="X895" t="s">
        <v>883</v>
      </c>
      <c r="Y895" t="s">
        <v>1703</v>
      </c>
      <c r="AA895" t="s">
        <v>419</v>
      </c>
      <c r="AB895">
        <v>0</v>
      </c>
      <c r="AK895" t="s">
        <v>642</v>
      </c>
      <c r="AL895" t="s">
        <v>290</v>
      </c>
    </row>
    <row r="896" spans="1:39">
      <c r="A896" s="146">
        <v>46219.854722222219</v>
      </c>
      <c r="B896" s="146">
        <v>46219</v>
      </c>
      <c r="C896">
        <v>2021131</v>
      </c>
      <c r="D896" t="s">
        <v>387</v>
      </c>
      <c r="E896" t="s">
        <v>643</v>
      </c>
      <c r="F896" t="s">
        <v>650</v>
      </c>
      <c r="G896" t="s">
        <v>256</v>
      </c>
      <c r="H896" t="s">
        <v>641</v>
      </c>
      <c r="I896" t="s">
        <v>93</v>
      </c>
      <c r="J896">
        <v>1230</v>
      </c>
      <c r="K896" s="141">
        <v>60</v>
      </c>
      <c r="O896" t="s">
        <v>651</v>
      </c>
      <c r="P896">
        <v>1</v>
      </c>
      <c r="Q896" t="s">
        <v>651</v>
      </c>
      <c r="U896">
        <v>21</v>
      </c>
      <c r="W896" t="s">
        <v>958</v>
      </c>
      <c r="X896" t="s">
        <v>883</v>
      </c>
      <c r="Y896" t="s">
        <v>1703</v>
      </c>
      <c r="AA896" t="s">
        <v>419</v>
      </c>
      <c r="AB896">
        <v>0</v>
      </c>
      <c r="AK896" t="s">
        <v>642</v>
      </c>
      <c r="AL896" t="s">
        <v>290</v>
      </c>
    </row>
    <row r="897" spans="1:39">
      <c r="A897" s="146">
        <v>46219.854722222219</v>
      </c>
      <c r="B897" s="146">
        <v>46219</v>
      </c>
      <c r="C897">
        <v>2021131</v>
      </c>
      <c r="D897" t="s">
        <v>387</v>
      </c>
      <c r="E897" t="s">
        <v>643</v>
      </c>
      <c r="F897" t="s">
        <v>1707</v>
      </c>
      <c r="G897" t="s">
        <v>1708</v>
      </c>
      <c r="H897" t="s">
        <v>641</v>
      </c>
      <c r="I897" t="s">
        <v>93</v>
      </c>
      <c r="J897">
        <v>615</v>
      </c>
      <c r="K897" s="141">
        <v>30</v>
      </c>
      <c r="O897" t="s">
        <v>651</v>
      </c>
      <c r="P897">
        <v>1</v>
      </c>
      <c r="Q897" t="s">
        <v>651</v>
      </c>
      <c r="U897">
        <v>21</v>
      </c>
      <c r="W897" t="s">
        <v>958</v>
      </c>
      <c r="X897" t="s">
        <v>883</v>
      </c>
      <c r="Y897" t="s">
        <v>1703</v>
      </c>
      <c r="AA897" t="s">
        <v>419</v>
      </c>
      <c r="AB897">
        <v>0</v>
      </c>
      <c r="AK897" t="s">
        <v>642</v>
      </c>
      <c r="AL897" t="s">
        <v>290</v>
      </c>
    </row>
    <row r="898" spans="1:39">
      <c r="A898" s="146">
        <v>46219.877708333333</v>
      </c>
      <c r="B898" s="146">
        <v>46219</v>
      </c>
      <c r="C898">
        <v>2021645</v>
      </c>
      <c r="D898" t="s">
        <v>629</v>
      </c>
      <c r="E898" t="s">
        <v>643</v>
      </c>
      <c r="F898" t="s">
        <v>650</v>
      </c>
      <c r="G898" t="s">
        <v>231</v>
      </c>
      <c r="H898" t="s">
        <v>641</v>
      </c>
      <c r="I898" t="s">
        <v>87</v>
      </c>
      <c r="J898">
        <v>6420</v>
      </c>
      <c r="K898" s="141">
        <v>55.853999999999999</v>
      </c>
      <c r="O898" t="s">
        <v>1676</v>
      </c>
      <c r="P898">
        <v>0</v>
      </c>
      <c r="Q898" t="s">
        <v>1676</v>
      </c>
      <c r="U898">
        <v>70</v>
      </c>
      <c r="W898" t="s">
        <v>958</v>
      </c>
      <c r="X898" t="s">
        <v>883</v>
      </c>
      <c r="Y898" t="s">
        <v>1709</v>
      </c>
      <c r="AA898" t="s">
        <v>419</v>
      </c>
      <c r="AB898">
        <v>0</v>
      </c>
      <c r="AK898" t="s">
        <v>642</v>
      </c>
      <c r="AL898" t="s">
        <v>290</v>
      </c>
    </row>
    <row r="899" spans="1:39">
      <c r="A899" s="146">
        <v>46219.878993055558</v>
      </c>
      <c r="B899" s="146">
        <v>46219</v>
      </c>
      <c r="C899">
        <v>2021645</v>
      </c>
      <c r="D899" t="s">
        <v>629</v>
      </c>
      <c r="E899" t="s">
        <v>643</v>
      </c>
      <c r="F899" t="s">
        <v>650</v>
      </c>
      <c r="G899" t="s">
        <v>225</v>
      </c>
      <c r="H899" t="s">
        <v>641</v>
      </c>
      <c r="I899" t="s">
        <v>94</v>
      </c>
      <c r="J899">
        <v>2330</v>
      </c>
      <c r="K899" s="141">
        <v>81.317000000000007</v>
      </c>
      <c r="O899" t="s">
        <v>1676</v>
      </c>
      <c r="P899">
        <v>0</v>
      </c>
      <c r="Q899" t="s">
        <v>1676</v>
      </c>
      <c r="U899">
        <v>42</v>
      </c>
      <c r="W899" t="s">
        <v>958</v>
      </c>
      <c r="X899" t="s">
        <v>883</v>
      </c>
      <c r="Y899" t="s">
        <v>1710</v>
      </c>
      <c r="AA899" t="s">
        <v>419</v>
      </c>
      <c r="AB899">
        <v>0</v>
      </c>
      <c r="AK899" t="s">
        <v>642</v>
      </c>
      <c r="AL899" t="s">
        <v>59</v>
      </c>
    </row>
    <row r="900" spans="1:39">
      <c r="A900" s="146">
        <v>46219.888703703706</v>
      </c>
      <c r="B900" s="146">
        <v>46219</v>
      </c>
      <c r="C900">
        <v>2223535</v>
      </c>
      <c r="D900" t="s">
        <v>400</v>
      </c>
      <c r="E900" t="s">
        <v>643</v>
      </c>
      <c r="F900" t="s">
        <v>650</v>
      </c>
      <c r="G900" t="s">
        <v>422</v>
      </c>
      <c r="H900" t="s">
        <v>641</v>
      </c>
      <c r="I900" t="s">
        <v>1712</v>
      </c>
      <c r="J900">
        <f>1530+400</f>
        <v>1930</v>
      </c>
      <c r="K900" s="141">
        <v>109.395</v>
      </c>
      <c r="O900" t="s">
        <v>1676</v>
      </c>
      <c r="P900">
        <v>0</v>
      </c>
      <c r="Q900" t="s">
        <v>1676</v>
      </c>
      <c r="U900">
        <v>17</v>
      </c>
      <c r="W900" t="s">
        <v>958</v>
      </c>
      <c r="X900" t="s">
        <v>883</v>
      </c>
      <c r="Y900" t="s">
        <v>1711</v>
      </c>
      <c r="AA900" t="s">
        <v>419</v>
      </c>
      <c r="AB900">
        <v>0</v>
      </c>
      <c r="AK900" t="s">
        <v>642</v>
      </c>
      <c r="AL900" t="s">
        <v>59</v>
      </c>
    </row>
    <row r="901" spans="1:39">
      <c r="A901" s="146">
        <v>46219.888703703706</v>
      </c>
      <c r="B901" s="146">
        <v>46219.888703703706</v>
      </c>
      <c r="C901">
        <v>2241656</v>
      </c>
      <c r="D901" t="s">
        <v>409</v>
      </c>
      <c r="E901" t="s">
        <v>643</v>
      </c>
      <c r="F901" t="s">
        <v>650</v>
      </c>
      <c r="G901" t="s">
        <v>224</v>
      </c>
      <c r="H901" t="s">
        <v>641</v>
      </c>
      <c r="I901" t="s">
        <v>96</v>
      </c>
      <c r="J901">
        <v>3020</v>
      </c>
      <c r="K901" s="141">
        <v>54.058</v>
      </c>
      <c r="O901" t="s">
        <v>997</v>
      </c>
      <c r="P901">
        <v>0</v>
      </c>
      <c r="Q901" t="s">
        <v>997</v>
      </c>
      <c r="U901">
        <v>50</v>
      </c>
      <c r="W901" t="s">
        <v>958</v>
      </c>
      <c r="X901" t="s">
        <v>883</v>
      </c>
      <c r="Y901" t="s">
        <v>1651</v>
      </c>
      <c r="AA901" t="s">
        <v>419</v>
      </c>
      <c r="AB901">
        <v>0</v>
      </c>
      <c r="AK901" t="s">
        <v>642</v>
      </c>
      <c r="AL901" t="s">
        <v>290</v>
      </c>
    </row>
    <row r="902" spans="1:39">
      <c r="A902" s="146">
        <v>46220.135949074072</v>
      </c>
      <c r="B902" s="146">
        <v>46219</v>
      </c>
      <c r="C902">
        <v>1921551</v>
      </c>
      <c r="D902" t="s">
        <v>380</v>
      </c>
      <c r="E902" t="s">
        <v>653</v>
      </c>
      <c r="F902" t="s">
        <v>654</v>
      </c>
      <c r="G902" t="s">
        <v>702</v>
      </c>
      <c r="H902" t="s">
        <v>641</v>
      </c>
      <c r="I902" t="s">
        <v>86</v>
      </c>
      <c r="J902">
        <v>12840</v>
      </c>
      <c r="K902" s="141">
        <v>111.708</v>
      </c>
      <c r="O902" t="s">
        <v>1676</v>
      </c>
      <c r="P902">
        <v>0</v>
      </c>
      <c r="Q902" t="s">
        <v>1676</v>
      </c>
      <c r="U902">
        <v>60</v>
      </c>
      <c r="W902" t="s">
        <v>958</v>
      </c>
      <c r="X902" t="s">
        <v>883</v>
      </c>
      <c r="Y902" t="s">
        <v>1713</v>
      </c>
      <c r="AA902" t="s">
        <v>419</v>
      </c>
      <c r="AB902">
        <v>0</v>
      </c>
      <c r="AK902" t="s">
        <v>642</v>
      </c>
      <c r="AL902" t="s">
        <v>290</v>
      </c>
    </row>
    <row r="903" spans="1:39">
      <c r="A903" s="146">
        <v>46220.145740740743</v>
      </c>
      <c r="B903" s="146">
        <v>46219</v>
      </c>
      <c r="C903">
        <v>2221908</v>
      </c>
      <c r="D903" t="s">
        <v>398</v>
      </c>
      <c r="E903" t="s">
        <v>653</v>
      </c>
      <c r="F903" t="s">
        <v>650</v>
      </c>
      <c r="G903" t="s">
        <v>233</v>
      </c>
      <c r="H903" t="s">
        <v>641</v>
      </c>
      <c r="I903" t="s">
        <v>1715</v>
      </c>
      <c r="J903">
        <v>1845</v>
      </c>
      <c r="K903" s="141">
        <v>95.201999999999998</v>
      </c>
      <c r="O903" t="s">
        <v>1676</v>
      </c>
      <c r="P903">
        <v>0</v>
      </c>
      <c r="Q903" t="s">
        <v>1676</v>
      </c>
      <c r="U903">
        <v>21</v>
      </c>
      <c r="W903" t="s">
        <v>958</v>
      </c>
      <c r="X903" t="s">
        <v>883</v>
      </c>
      <c r="Y903" t="s">
        <v>1714</v>
      </c>
      <c r="AA903" t="s">
        <v>419</v>
      </c>
      <c r="AB903">
        <v>0</v>
      </c>
      <c r="AK903" t="s">
        <v>642</v>
      </c>
      <c r="AL903" t="s">
        <v>290</v>
      </c>
    </row>
    <row r="904" spans="1:39">
      <c r="A904" s="146">
        <v>46220.190682870372</v>
      </c>
      <c r="B904" s="146">
        <v>46219</v>
      </c>
      <c r="C904">
        <v>2325295</v>
      </c>
      <c r="D904" t="s">
        <v>411</v>
      </c>
      <c r="E904" t="s">
        <v>653</v>
      </c>
      <c r="F904" t="s">
        <v>650</v>
      </c>
      <c r="G904" t="s">
        <v>1716</v>
      </c>
      <c r="H904" t="s">
        <v>641</v>
      </c>
      <c r="I904" t="s">
        <v>1718</v>
      </c>
      <c r="J904">
        <v>3020</v>
      </c>
      <c r="K904" s="141">
        <v>60.701999999999998</v>
      </c>
      <c r="O904" t="s">
        <v>1676</v>
      </c>
      <c r="P904">
        <v>0</v>
      </c>
      <c r="Q904" t="s">
        <v>1676</v>
      </c>
      <c r="U904">
        <v>40</v>
      </c>
      <c r="W904" t="s">
        <v>958</v>
      </c>
      <c r="X904" t="s">
        <v>883</v>
      </c>
      <c r="Y904" t="s">
        <v>1717</v>
      </c>
      <c r="AA904" t="s">
        <v>419</v>
      </c>
      <c r="AB904">
        <v>0</v>
      </c>
      <c r="AK904" t="s">
        <v>642</v>
      </c>
      <c r="AL904" t="s">
        <v>290</v>
      </c>
    </row>
    <row r="905" spans="1:39">
      <c r="A905" s="146">
        <v>46220.205509259256</v>
      </c>
      <c r="B905" s="146">
        <v>46219</v>
      </c>
      <c r="C905">
        <v>2221908</v>
      </c>
      <c r="D905" t="s">
        <v>398</v>
      </c>
      <c r="E905" t="s">
        <v>653</v>
      </c>
      <c r="F905" t="s">
        <v>650</v>
      </c>
      <c r="G905" t="s">
        <v>225</v>
      </c>
      <c r="H905" t="s">
        <v>641</v>
      </c>
      <c r="I905" t="s">
        <v>1720</v>
      </c>
      <c r="J905">
        <v>1330</v>
      </c>
      <c r="K905" s="141">
        <v>46.417000000000002</v>
      </c>
      <c r="O905" t="s">
        <v>1336</v>
      </c>
      <c r="P905">
        <v>2</v>
      </c>
      <c r="Q905" t="s">
        <v>1336</v>
      </c>
      <c r="U905">
        <v>30</v>
      </c>
      <c r="W905" t="s">
        <v>958</v>
      </c>
      <c r="X905" t="s">
        <v>883</v>
      </c>
      <c r="Y905" t="s">
        <v>1719</v>
      </c>
      <c r="AA905" t="s">
        <v>652</v>
      </c>
      <c r="AB905">
        <v>0</v>
      </c>
      <c r="AK905" t="s">
        <v>642</v>
      </c>
      <c r="AL905" t="s">
        <v>59</v>
      </c>
    </row>
    <row r="906" spans="1:39">
      <c r="A906" s="146">
        <v>46220.207430555558</v>
      </c>
      <c r="B906" s="146">
        <v>46219</v>
      </c>
      <c r="C906">
        <v>2325365</v>
      </c>
      <c r="D906" t="s">
        <v>414</v>
      </c>
      <c r="E906" t="s">
        <v>653</v>
      </c>
      <c r="F906" t="s">
        <v>650</v>
      </c>
      <c r="G906" t="s">
        <v>259</v>
      </c>
      <c r="H906" t="s">
        <v>641</v>
      </c>
      <c r="I906" t="s">
        <v>82</v>
      </c>
      <c r="J906">
        <v>930</v>
      </c>
      <c r="K906" s="141">
        <v>32.457000000000001</v>
      </c>
      <c r="O906" t="s">
        <v>1336</v>
      </c>
      <c r="P906">
        <v>2</v>
      </c>
      <c r="Q906" t="s">
        <v>1336</v>
      </c>
      <c r="U906">
        <v>30</v>
      </c>
      <c r="W906" t="s">
        <v>958</v>
      </c>
      <c r="X906" t="s">
        <v>883</v>
      </c>
      <c r="Y906" t="s">
        <v>1721</v>
      </c>
      <c r="AA906" t="s">
        <v>652</v>
      </c>
      <c r="AB906">
        <v>0</v>
      </c>
      <c r="AK906" t="s">
        <v>642</v>
      </c>
      <c r="AL906" t="s">
        <v>59</v>
      </c>
    </row>
    <row r="907" spans="1:39">
      <c r="A907" s="146">
        <v>46220.216435185182</v>
      </c>
      <c r="B907" s="146">
        <v>46219</v>
      </c>
      <c r="C907">
        <v>2325310</v>
      </c>
      <c r="D907" t="s">
        <v>413</v>
      </c>
      <c r="E907" t="s">
        <v>653</v>
      </c>
      <c r="F907" t="s">
        <v>650</v>
      </c>
      <c r="G907" t="s">
        <v>227</v>
      </c>
      <c r="H907" t="s">
        <v>641</v>
      </c>
      <c r="I907" t="s">
        <v>1725</v>
      </c>
      <c r="J907">
        <v>3020</v>
      </c>
      <c r="K907" s="141">
        <v>54.058</v>
      </c>
      <c r="O907" t="s">
        <v>1676</v>
      </c>
      <c r="P907">
        <v>0</v>
      </c>
      <c r="Q907" t="s">
        <v>1676</v>
      </c>
      <c r="U907">
        <v>45</v>
      </c>
      <c r="W907" t="s">
        <v>958</v>
      </c>
      <c r="X907" t="s">
        <v>883</v>
      </c>
      <c r="Y907" t="s">
        <v>1722</v>
      </c>
      <c r="AA907" t="s">
        <v>419</v>
      </c>
      <c r="AB907">
        <v>0</v>
      </c>
      <c r="AK907" t="s">
        <v>642</v>
      </c>
      <c r="AL907" t="s">
        <v>290</v>
      </c>
    </row>
    <row r="908" spans="1:39">
      <c r="A908" s="146">
        <v>46220.216909722221</v>
      </c>
      <c r="B908" s="146">
        <v>46219</v>
      </c>
      <c r="C908">
        <v>2325310</v>
      </c>
      <c r="D908" t="s">
        <v>413</v>
      </c>
      <c r="E908" t="s">
        <v>653</v>
      </c>
      <c r="F908" t="s">
        <v>650</v>
      </c>
      <c r="G908" t="s">
        <v>671</v>
      </c>
      <c r="H908" t="s">
        <v>641</v>
      </c>
      <c r="I908" t="s">
        <v>1724</v>
      </c>
      <c r="J908">
        <v>1200</v>
      </c>
      <c r="K908" s="141">
        <v>21.48</v>
      </c>
      <c r="O908" t="s">
        <v>1676</v>
      </c>
      <c r="P908">
        <v>0</v>
      </c>
      <c r="Q908" t="s">
        <v>1676</v>
      </c>
      <c r="U908">
        <v>45</v>
      </c>
      <c r="W908" t="s">
        <v>958</v>
      </c>
      <c r="X908" t="s">
        <v>883</v>
      </c>
      <c r="Y908" t="s">
        <v>1723</v>
      </c>
      <c r="AA908" t="s">
        <v>419</v>
      </c>
      <c r="AB908">
        <v>0</v>
      </c>
      <c r="AK908" t="s">
        <v>642</v>
      </c>
      <c r="AL908" t="s">
        <v>290</v>
      </c>
    </row>
    <row r="909" spans="1:39">
      <c r="A909" s="146">
        <v>46220.241481481484</v>
      </c>
      <c r="B909" s="146">
        <v>46219</v>
      </c>
      <c r="C909">
        <v>2228947</v>
      </c>
      <c r="D909" t="s">
        <v>416</v>
      </c>
      <c r="E909" t="s">
        <v>653</v>
      </c>
      <c r="F909" t="s">
        <v>650</v>
      </c>
      <c r="G909" t="s">
        <v>1726</v>
      </c>
      <c r="H909" t="s">
        <v>641</v>
      </c>
      <c r="I909" t="s">
        <v>1728</v>
      </c>
      <c r="J909">
        <v>9210</v>
      </c>
      <c r="K909" s="141">
        <v>80.126999999999995</v>
      </c>
      <c r="O909" t="s">
        <v>1391</v>
      </c>
      <c r="P909">
        <v>0</v>
      </c>
      <c r="Q909" t="s">
        <v>1391</v>
      </c>
      <c r="U909">
        <v>70</v>
      </c>
      <c r="W909" t="s">
        <v>958</v>
      </c>
      <c r="X909" t="s">
        <v>883</v>
      </c>
      <c r="Y909" t="s">
        <v>1727</v>
      </c>
      <c r="AA909" t="s">
        <v>647</v>
      </c>
      <c r="AB909">
        <v>0</v>
      </c>
      <c r="AK909" t="s">
        <v>642</v>
      </c>
      <c r="AL909" t="s">
        <v>290</v>
      </c>
    </row>
    <row r="910" spans="1:39">
      <c r="A910" s="146">
        <v>46220.243287037039</v>
      </c>
      <c r="B910" s="146">
        <v>46219</v>
      </c>
      <c r="C910">
        <v>2020965</v>
      </c>
      <c r="D910" t="s">
        <v>386</v>
      </c>
      <c r="E910" t="s">
        <v>653</v>
      </c>
      <c r="F910" t="s">
        <v>650</v>
      </c>
      <c r="G910" t="s">
        <v>224</v>
      </c>
      <c r="H910" t="s">
        <v>641</v>
      </c>
      <c r="I910" t="s">
        <v>1730</v>
      </c>
      <c r="J910">
        <v>9060</v>
      </c>
      <c r="K910" s="141">
        <v>162.17400000000001</v>
      </c>
      <c r="O910" t="s">
        <v>1391</v>
      </c>
      <c r="P910">
        <v>0</v>
      </c>
      <c r="Q910" t="s">
        <v>1391</v>
      </c>
      <c r="U910">
        <v>50</v>
      </c>
      <c r="W910" t="s">
        <v>958</v>
      </c>
      <c r="X910" t="s">
        <v>883</v>
      </c>
      <c r="Y910" t="s">
        <v>1729</v>
      </c>
      <c r="AA910" t="s">
        <v>647</v>
      </c>
      <c r="AB910">
        <v>0</v>
      </c>
      <c r="AK910" t="s">
        <v>642</v>
      </c>
      <c r="AL910" t="s">
        <v>59</v>
      </c>
    </row>
    <row r="911" spans="1:39">
      <c r="A911" s="146">
        <v>46220.243287037039</v>
      </c>
      <c r="B911" s="146">
        <v>46220.243287037039</v>
      </c>
      <c r="C911">
        <v>2243991</v>
      </c>
      <c r="D911" t="s">
        <v>410</v>
      </c>
      <c r="E911" t="s">
        <v>659</v>
      </c>
      <c r="F911" t="s">
        <v>650</v>
      </c>
      <c r="G911" t="s">
        <v>228</v>
      </c>
      <c r="H911" t="s">
        <v>641</v>
      </c>
      <c r="I911" t="s">
        <v>1742</v>
      </c>
      <c r="J911">
        <v>2545</v>
      </c>
      <c r="K911" s="141">
        <v>15.26</v>
      </c>
      <c r="O911" t="s">
        <v>1676</v>
      </c>
      <c r="P911">
        <v>0</v>
      </c>
      <c r="Q911" t="s">
        <v>1676</v>
      </c>
      <c r="R911" t="s">
        <v>1731</v>
      </c>
      <c r="U911">
        <v>21</v>
      </c>
      <c r="W911" t="s">
        <v>958</v>
      </c>
      <c r="X911" t="s">
        <v>883</v>
      </c>
      <c r="Y911" t="s">
        <v>1703</v>
      </c>
      <c r="AA911" t="s">
        <v>419</v>
      </c>
      <c r="AB911">
        <v>0</v>
      </c>
      <c r="AK911" t="s">
        <v>642</v>
      </c>
      <c r="AL911" t="s">
        <v>59</v>
      </c>
    </row>
    <row r="912" spans="1:39">
      <c r="A912" s="146">
        <v>46220.55059027778</v>
      </c>
      <c r="B912" s="146">
        <v>46220</v>
      </c>
      <c r="C912">
        <v>2222785</v>
      </c>
      <c r="D912" t="s">
        <v>399</v>
      </c>
      <c r="E912" t="s">
        <v>659</v>
      </c>
      <c r="F912" t="s">
        <v>654</v>
      </c>
      <c r="G912" t="s">
        <v>259</v>
      </c>
      <c r="H912" t="s">
        <v>641</v>
      </c>
      <c r="I912" t="s">
        <v>82</v>
      </c>
      <c r="J912">
        <v>5580</v>
      </c>
      <c r="K912" s="141">
        <v>194.74199999999999</v>
      </c>
      <c r="L912">
        <v>0</v>
      </c>
      <c r="M912">
        <v>0</v>
      </c>
      <c r="N912">
        <v>194.74199999999999</v>
      </c>
      <c r="O912" t="s">
        <v>1732</v>
      </c>
      <c r="P912">
        <v>0</v>
      </c>
      <c r="Q912" t="s">
        <v>1732</v>
      </c>
      <c r="R912" t="s">
        <v>1733</v>
      </c>
      <c r="S912">
        <v>0</v>
      </c>
      <c r="T912">
        <v>3.2</v>
      </c>
      <c r="U912">
        <v>30</v>
      </c>
      <c r="V912">
        <v>0.96875</v>
      </c>
      <c r="W912" t="s">
        <v>958</v>
      </c>
      <c r="X912" t="s">
        <v>883</v>
      </c>
      <c r="Y912" t="s">
        <v>1734</v>
      </c>
      <c r="AA912" t="s">
        <v>419</v>
      </c>
      <c r="AB912">
        <v>0</v>
      </c>
      <c r="AI912">
        <v>6</v>
      </c>
      <c r="AJ912">
        <v>5580</v>
      </c>
      <c r="AK912" t="s">
        <v>642</v>
      </c>
      <c r="AL912" t="s">
        <v>59</v>
      </c>
      <c r="AM912">
        <v>1</v>
      </c>
    </row>
    <row r="913" spans="1:38">
      <c r="A913" s="146">
        <v>46220.555196759262</v>
      </c>
      <c r="B913" s="146">
        <v>46220</v>
      </c>
      <c r="C913">
        <v>2021742</v>
      </c>
      <c r="D913" t="s">
        <v>391</v>
      </c>
      <c r="E913" t="s">
        <v>659</v>
      </c>
      <c r="F913" t="s">
        <v>650</v>
      </c>
      <c r="G913" t="s">
        <v>230</v>
      </c>
      <c r="H913" t="s">
        <v>641</v>
      </c>
      <c r="I913" t="s">
        <v>1738</v>
      </c>
      <c r="J913">
        <v>3210</v>
      </c>
      <c r="K913" s="141">
        <v>27.927</v>
      </c>
      <c r="O913" t="s">
        <v>1735</v>
      </c>
      <c r="P913">
        <v>0</v>
      </c>
      <c r="Q913" t="s">
        <v>1735</v>
      </c>
      <c r="U913">
        <v>60</v>
      </c>
      <c r="W913" t="s">
        <v>958</v>
      </c>
      <c r="X913" t="s">
        <v>883</v>
      </c>
      <c r="Y913" t="s">
        <v>1736</v>
      </c>
      <c r="AA913" t="s">
        <v>647</v>
      </c>
      <c r="AB913">
        <v>0</v>
      </c>
      <c r="AK913" t="s">
        <v>642</v>
      </c>
      <c r="AL913" t="s">
        <v>290</v>
      </c>
    </row>
    <row r="914" spans="1:38">
      <c r="A914" s="146">
        <v>46220.555532407408</v>
      </c>
      <c r="B914" s="146">
        <v>46220</v>
      </c>
      <c r="C914">
        <v>2021742</v>
      </c>
      <c r="D914" t="s">
        <v>391</v>
      </c>
      <c r="E914" t="s">
        <v>659</v>
      </c>
      <c r="F914" t="s">
        <v>650</v>
      </c>
      <c r="G914" t="s">
        <v>1451</v>
      </c>
      <c r="H914" t="s">
        <v>641</v>
      </c>
      <c r="I914" t="s">
        <v>1739</v>
      </c>
      <c r="J914">
        <v>3210</v>
      </c>
      <c r="K914" s="141">
        <v>27.927</v>
      </c>
      <c r="O914" t="s">
        <v>1735</v>
      </c>
      <c r="P914">
        <v>0</v>
      </c>
      <c r="Q914" t="s">
        <v>1735</v>
      </c>
      <c r="U914">
        <v>60</v>
      </c>
      <c r="W914" t="s">
        <v>958</v>
      </c>
      <c r="X914" t="s">
        <v>883</v>
      </c>
      <c r="Y914" t="s">
        <v>1737</v>
      </c>
      <c r="AA914" t="s">
        <v>647</v>
      </c>
      <c r="AB914">
        <v>0</v>
      </c>
      <c r="AK914" t="s">
        <v>642</v>
      </c>
      <c r="AL914" t="s">
        <v>290</v>
      </c>
    </row>
    <row r="915" spans="1:38">
      <c r="A915" s="146">
        <v>46220.577152777776</v>
      </c>
      <c r="B915" s="146">
        <v>46220</v>
      </c>
      <c r="C915">
        <v>2020488</v>
      </c>
      <c r="D915" t="s">
        <v>383</v>
      </c>
      <c r="E915" t="s">
        <v>659</v>
      </c>
      <c r="F915" t="s">
        <v>650</v>
      </c>
      <c r="G915" t="s">
        <v>249</v>
      </c>
      <c r="H915" t="s">
        <v>641</v>
      </c>
      <c r="I915" t="s">
        <v>1741</v>
      </c>
      <c r="J915">
        <v>6040</v>
      </c>
      <c r="K915" s="141">
        <v>108.116</v>
      </c>
      <c r="O915" t="s">
        <v>1735</v>
      </c>
      <c r="P915">
        <v>0</v>
      </c>
      <c r="Q915" t="s">
        <v>1735</v>
      </c>
      <c r="U915">
        <v>50</v>
      </c>
      <c r="W915" t="s">
        <v>958</v>
      </c>
      <c r="X915" t="s">
        <v>883</v>
      </c>
      <c r="Y915" t="s">
        <v>1740</v>
      </c>
      <c r="AA915" t="s">
        <v>647</v>
      </c>
      <c r="AB915">
        <v>0</v>
      </c>
      <c r="AK915" t="s">
        <v>642</v>
      </c>
      <c r="AL915" t="s">
        <v>290</v>
      </c>
    </row>
    <row r="916" spans="1:38">
      <c r="A916" s="146">
        <v>46220.878217592595</v>
      </c>
      <c r="B916" s="146">
        <v>46220</v>
      </c>
      <c r="C916">
        <v>2020390</v>
      </c>
      <c r="D916" t="s">
        <v>382</v>
      </c>
      <c r="E916" t="s">
        <v>643</v>
      </c>
      <c r="F916" t="s">
        <v>650</v>
      </c>
      <c r="G916" t="s">
        <v>1743</v>
      </c>
      <c r="H916" t="s">
        <v>641</v>
      </c>
      <c r="I916" t="s">
        <v>1745</v>
      </c>
      <c r="J916">
        <v>930</v>
      </c>
      <c r="K916" s="141">
        <v>32.457000000000001</v>
      </c>
      <c r="O916" t="s">
        <v>1735</v>
      </c>
      <c r="P916">
        <v>0</v>
      </c>
      <c r="Q916" t="s">
        <v>1735</v>
      </c>
      <c r="U916">
        <v>30</v>
      </c>
      <c r="W916" t="s">
        <v>958</v>
      </c>
      <c r="X916" t="s">
        <v>883</v>
      </c>
      <c r="Y916" t="s">
        <v>1744</v>
      </c>
      <c r="AA916" t="s">
        <v>647</v>
      </c>
      <c r="AB916">
        <v>0</v>
      </c>
      <c r="AK916" t="s">
        <v>642</v>
      </c>
      <c r="AL916" t="s">
        <v>290</v>
      </c>
    </row>
    <row r="917" spans="1:38">
      <c r="A917" s="146">
        <v>46220.878217592595</v>
      </c>
      <c r="B917" s="146">
        <v>46220</v>
      </c>
      <c r="C917">
        <v>2020390</v>
      </c>
      <c r="D917" t="s">
        <v>629</v>
      </c>
      <c r="E917" t="s">
        <v>643</v>
      </c>
      <c r="F917" t="s">
        <v>650</v>
      </c>
      <c r="G917" t="s">
        <v>1746</v>
      </c>
      <c r="H917" t="s">
        <v>641</v>
      </c>
      <c r="I917" t="s">
        <v>90</v>
      </c>
      <c r="J917">
        <v>2010</v>
      </c>
      <c r="K917" s="141">
        <v>45</v>
      </c>
      <c r="O917" t="s">
        <v>1735</v>
      </c>
      <c r="P917">
        <v>0</v>
      </c>
      <c r="Q917" t="s">
        <v>1735</v>
      </c>
      <c r="U917">
        <v>30</v>
      </c>
      <c r="W917" t="s">
        <v>958</v>
      </c>
      <c r="X917" t="s">
        <v>883</v>
      </c>
      <c r="Y917" t="s">
        <v>1744</v>
      </c>
      <c r="AA917" t="s">
        <v>647</v>
      </c>
      <c r="AB917">
        <v>0</v>
      </c>
      <c r="AK917" t="s">
        <v>642</v>
      </c>
      <c r="AL917" t="s">
        <v>290</v>
      </c>
    </row>
    <row r="918" spans="1:38">
      <c r="A918" s="146">
        <v>46220.878217592595</v>
      </c>
      <c r="B918" s="146">
        <v>46220</v>
      </c>
      <c r="C918">
        <v>2020390</v>
      </c>
      <c r="D918" t="s">
        <v>406</v>
      </c>
      <c r="E918" t="s">
        <v>643</v>
      </c>
      <c r="F918" t="s">
        <v>650</v>
      </c>
      <c r="G918" t="s">
        <v>671</v>
      </c>
      <c r="H918" t="s">
        <v>641</v>
      </c>
      <c r="I918" t="s">
        <v>81</v>
      </c>
      <c r="J918">
        <v>3020</v>
      </c>
      <c r="K918" s="141">
        <v>45</v>
      </c>
      <c r="O918" t="s">
        <v>1735</v>
      </c>
      <c r="P918">
        <v>0</v>
      </c>
      <c r="Q918" t="s">
        <v>1735</v>
      </c>
      <c r="U918">
        <v>30</v>
      </c>
      <c r="W918" t="s">
        <v>958</v>
      </c>
      <c r="X918" t="s">
        <v>883</v>
      </c>
      <c r="Y918" t="s">
        <v>1744</v>
      </c>
      <c r="AA918" t="s">
        <v>647</v>
      </c>
      <c r="AB918">
        <v>0</v>
      </c>
      <c r="AK918" t="s">
        <v>642</v>
      </c>
      <c r="AL918" t="s">
        <v>290</v>
      </c>
    </row>
    <row r="919" spans="1:38">
      <c r="A919" s="146">
        <v>46220.878217592595</v>
      </c>
      <c r="B919" s="146">
        <v>46220</v>
      </c>
      <c r="C919">
        <v>2020390</v>
      </c>
      <c r="D919" t="s">
        <v>629</v>
      </c>
      <c r="E919" t="s">
        <v>643</v>
      </c>
      <c r="F919" t="s">
        <v>650</v>
      </c>
      <c r="G919" t="s">
        <v>226</v>
      </c>
      <c r="H919" t="s">
        <v>641</v>
      </c>
      <c r="I919" t="s">
        <v>87</v>
      </c>
      <c r="J919">
        <v>6420</v>
      </c>
      <c r="K919" s="141">
        <v>60</v>
      </c>
      <c r="O919" t="s">
        <v>1735</v>
      </c>
      <c r="P919">
        <v>0</v>
      </c>
      <c r="Q919" t="s">
        <v>1735</v>
      </c>
      <c r="U919">
        <v>30</v>
      </c>
      <c r="W919" t="s">
        <v>958</v>
      </c>
      <c r="X919" t="s">
        <v>883</v>
      </c>
      <c r="Y919" t="s">
        <v>1744</v>
      </c>
      <c r="AA919" t="s">
        <v>647</v>
      </c>
      <c r="AB919">
        <v>0</v>
      </c>
      <c r="AK919" t="s">
        <v>642</v>
      </c>
      <c r="AL919" t="s">
        <v>290</v>
      </c>
    </row>
    <row r="920" spans="1:38">
      <c r="A920" s="146">
        <v>46220.878217592595</v>
      </c>
      <c r="B920" s="146">
        <v>46220.878217592595</v>
      </c>
      <c r="C920">
        <v>2241656</v>
      </c>
      <c r="D920" t="s">
        <v>409</v>
      </c>
      <c r="E920" t="s">
        <v>643</v>
      </c>
      <c r="F920" t="s">
        <v>650</v>
      </c>
      <c r="G920" t="s">
        <v>249</v>
      </c>
      <c r="H920" t="s">
        <v>641</v>
      </c>
      <c r="I920" t="s">
        <v>96</v>
      </c>
      <c r="J920">
        <v>1510</v>
      </c>
      <c r="K920" s="141">
        <v>54.058</v>
      </c>
      <c r="O920" t="s">
        <v>1676</v>
      </c>
      <c r="P920">
        <v>0</v>
      </c>
      <c r="Q920" t="s">
        <v>1676</v>
      </c>
      <c r="U920">
        <v>50</v>
      </c>
      <c r="W920" t="s">
        <v>958</v>
      </c>
      <c r="X920" t="s">
        <v>883</v>
      </c>
      <c r="Y920" t="s">
        <v>1651</v>
      </c>
      <c r="AA920" t="s">
        <v>419</v>
      </c>
      <c r="AB920">
        <v>0</v>
      </c>
      <c r="AK920" t="s">
        <v>642</v>
      </c>
      <c r="AL920" t="s">
        <v>290</v>
      </c>
    </row>
    <row r="921" spans="1:38">
      <c r="A921" s="146">
        <v>46220.878217592595</v>
      </c>
      <c r="B921" s="146">
        <v>46220.878217592595</v>
      </c>
      <c r="C921">
        <v>2226596</v>
      </c>
      <c r="D921" t="s">
        <v>403</v>
      </c>
      <c r="E921" t="s">
        <v>643</v>
      </c>
      <c r="F921" t="s">
        <v>650</v>
      </c>
      <c r="G921" t="s">
        <v>232</v>
      </c>
      <c r="H921" t="s">
        <v>641</v>
      </c>
      <c r="I921" t="s">
        <v>89</v>
      </c>
      <c r="J921">
        <v>1530</v>
      </c>
      <c r="K921" s="141">
        <v>49.35</v>
      </c>
      <c r="O921" t="s">
        <v>1676</v>
      </c>
      <c r="P921">
        <v>0</v>
      </c>
      <c r="Q921" t="s">
        <v>1676</v>
      </c>
      <c r="U921">
        <v>30</v>
      </c>
      <c r="W921" t="s">
        <v>958</v>
      </c>
      <c r="X921" t="s">
        <v>883</v>
      </c>
      <c r="Y921" t="s">
        <v>1651</v>
      </c>
      <c r="AA921" t="s">
        <v>419</v>
      </c>
      <c r="AB921">
        <v>0</v>
      </c>
      <c r="AK921" t="s">
        <v>642</v>
      </c>
      <c r="AL921" t="s">
        <v>290</v>
      </c>
    </row>
    <row r="922" spans="1:38">
      <c r="A922" s="146">
        <v>46220.878217592595</v>
      </c>
      <c r="B922" s="146">
        <v>46220.878217592595</v>
      </c>
      <c r="C922">
        <v>2226596</v>
      </c>
      <c r="D922" t="s">
        <v>403</v>
      </c>
      <c r="E922" t="s">
        <v>643</v>
      </c>
      <c r="F922" t="s">
        <v>650</v>
      </c>
      <c r="G922" t="s">
        <v>254</v>
      </c>
      <c r="H922" t="s">
        <v>641</v>
      </c>
      <c r="I922" t="s">
        <v>88</v>
      </c>
      <c r="J922">
        <v>1530</v>
      </c>
      <c r="K922" s="141">
        <v>48.65</v>
      </c>
      <c r="O922" t="s">
        <v>1676</v>
      </c>
      <c r="P922">
        <v>0</v>
      </c>
      <c r="Q922" t="s">
        <v>1676</v>
      </c>
      <c r="U922">
        <v>21</v>
      </c>
      <c r="W922" t="s">
        <v>958</v>
      </c>
      <c r="X922" t="s">
        <v>883</v>
      </c>
      <c r="Y922" t="s">
        <v>1651</v>
      </c>
      <c r="AA922" t="s">
        <v>419</v>
      </c>
      <c r="AB922">
        <v>0</v>
      </c>
      <c r="AK922" t="s">
        <v>642</v>
      </c>
      <c r="AL922" t="s">
        <v>290</v>
      </c>
    </row>
    <row r="923" spans="1:38">
      <c r="A923" s="146">
        <v>46221.21502314815</v>
      </c>
      <c r="B923" s="146">
        <v>46220</v>
      </c>
      <c r="C923">
        <v>2022158</v>
      </c>
      <c r="D923" t="s">
        <v>394</v>
      </c>
      <c r="E923" t="s">
        <v>643</v>
      </c>
      <c r="F923" t="s">
        <v>650</v>
      </c>
      <c r="G923" t="s">
        <v>1747</v>
      </c>
      <c r="H923" t="s">
        <v>641</v>
      </c>
      <c r="I923" t="s">
        <v>1750</v>
      </c>
      <c r="J923">
        <v>1860</v>
      </c>
      <c r="K923" s="141">
        <v>64.914000000000001</v>
      </c>
      <c r="O923" t="s">
        <v>1748</v>
      </c>
      <c r="P923">
        <v>0</v>
      </c>
      <c r="Q923" t="s">
        <v>1748</v>
      </c>
      <c r="U923">
        <v>30</v>
      </c>
      <c r="W923" t="s">
        <v>958</v>
      </c>
      <c r="X923" t="s">
        <v>883</v>
      </c>
      <c r="Y923" t="s">
        <v>1749</v>
      </c>
      <c r="AA923" t="s">
        <v>419</v>
      </c>
      <c r="AB923">
        <v>0</v>
      </c>
      <c r="AK923" t="s">
        <v>642</v>
      </c>
      <c r="AL923" t="s">
        <v>290</v>
      </c>
    </row>
    <row r="924" spans="1:38">
      <c r="A924" s="146">
        <v>46221.226284722223</v>
      </c>
      <c r="B924" s="146">
        <v>46220</v>
      </c>
      <c r="C924">
        <v>2020965</v>
      </c>
      <c r="D924" t="s">
        <v>386</v>
      </c>
      <c r="E924" t="s">
        <v>653</v>
      </c>
      <c r="F924" t="s">
        <v>650</v>
      </c>
      <c r="G924" t="s">
        <v>1489</v>
      </c>
      <c r="H924" t="s">
        <v>641</v>
      </c>
      <c r="I924" t="s">
        <v>1753</v>
      </c>
      <c r="J924">
        <v>2200</v>
      </c>
      <c r="K924" s="141">
        <v>39.379999999999995</v>
      </c>
      <c r="O924" t="s">
        <v>1751</v>
      </c>
      <c r="P924">
        <v>0</v>
      </c>
      <c r="Q924" t="s">
        <v>1751</v>
      </c>
      <c r="U924">
        <v>50</v>
      </c>
      <c r="W924" t="s">
        <v>958</v>
      </c>
      <c r="X924" t="s">
        <v>883</v>
      </c>
      <c r="Y924" t="s">
        <v>1752</v>
      </c>
      <c r="AA924" t="s">
        <v>419</v>
      </c>
      <c r="AB924">
        <v>0</v>
      </c>
      <c r="AK924" t="s">
        <v>642</v>
      </c>
      <c r="AL924" t="s">
        <v>290</v>
      </c>
    </row>
    <row r="925" spans="1:38">
      <c r="A925" s="146">
        <v>46221.22892361111</v>
      </c>
      <c r="B925" s="146">
        <v>46220</v>
      </c>
      <c r="C925">
        <v>2221908</v>
      </c>
      <c r="D925" t="s">
        <v>398</v>
      </c>
      <c r="E925" t="s">
        <v>653</v>
      </c>
      <c r="F925" t="s">
        <v>650</v>
      </c>
      <c r="G925" t="s">
        <v>232</v>
      </c>
      <c r="H925" t="s">
        <v>641</v>
      </c>
      <c r="I925" t="s">
        <v>1755</v>
      </c>
      <c r="J925">
        <v>3720</v>
      </c>
      <c r="K925" s="141">
        <v>129.828</v>
      </c>
      <c r="O925" t="s">
        <v>1751</v>
      </c>
      <c r="P925">
        <v>0</v>
      </c>
      <c r="Q925" t="s">
        <v>1751</v>
      </c>
      <c r="U925">
        <v>30</v>
      </c>
      <c r="W925" t="s">
        <v>958</v>
      </c>
      <c r="X925" t="s">
        <v>883</v>
      </c>
      <c r="Y925" t="s">
        <v>1754</v>
      </c>
      <c r="AA925" t="s">
        <v>419</v>
      </c>
      <c r="AB925">
        <v>0</v>
      </c>
      <c r="AK925" t="s">
        <v>642</v>
      </c>
      <c r="AL925" t="s">
        <v>290</v>
      </c>
    </row>
    <row r="926" spans="1:38">
      <c r="A926" s="146">
        <v>46221.238043981481</v>
      </c>
      <c r="B926" s="146">
        <v>46220</v>
      </c>
      <c r="C926">
        <v>2325310</v>
      </c>
      <c r="D926" t="s">
        <v>413</v>
      </c>
      <c r="E926" t="s">
        <v>653</v>
      </c>
      <c r="F926" t="s">
        <v>650</v>
      </c>
      <c r="G926" t="s">
        <v>481</v>
      </c>
      <c r="H926" t="s">
        <v>641</v>
      </c>
      <c r="I926" t="s">
        <v>101</v>
      </c>
      <c r="J926">
        <v>1260</v>
      </c>
      <c r="K926" s="141">
        <v>101.05199999999999</v>
      </c>
      <c r="O926" t="s">
        <v>1751</v>
      </c>
      <c r="P926">
        <v>0</v>
      </c>
      <c r="Q926" t="s">
        <v>1751</v>
      </c>
      <c r="U926">
        <v>13.5</v>
      </c>
      <c r="W926" t="s">
        <v>958</v>
      </c>
      <c r="X926" t="s">
        <v>883</v>
      </c>
      <c r="Y926" t="s">
        <v>1756</v>
      </c>
      <c r="AA926" t="s">
        <v>419</v>
      </c>
      <c r="AB926">
        <v>0</v>
      </c>
      <c r="AK926" t="s">
        <v>642</v>
      </c>
      <c r="AL926" t="s">
        <v>290</v>
      </c>
    </row>
    <row r="927" spans="1:38">
      <c r="A927" s="146">
        <v>46221.242349537039</v>
      </c>
      <c r="B927" s="146">
        <v>46220</v>
      </c>
      <c r="C927">
        <v>2228947</v>
      </c>
      <c r="D927" t="s">
        <v>416</v>
      </c>
      <c r="E927" t="s">
        <v>653</v>
      </c>
      <c r="F927" t="s">
        <v>650</v>
      </c>
      <c r="G927" t="s">
        <v>1757</v>
      </c>
      <c r="H927" t="s">
        <v>641</v>
      </c>
      <c r="I927" t="s">
        <v>1759</v>
      </c>
      <c r="J927">
        <v>1475</v>
      </c>
      <c r="K927" s="141">
        <v>29.647500000000001</v>
      </c>
      <c r="O927" t="s">
        <v>1751</v>
      </c>
      <c r="P927">
        <v>0</v>
      </c>
      <c r="Q927" t="s">
        <v>1751</v>
      </c>
      <c r="U927">
        <v>40</v>
      </c>
      <c r="W927" t="s">
        <v>958</v>
      </c>
      <c r="X927" t="s">
        <v>883</v>
      </c>
      <c r="Y927" t="s">
        <v>1758</v>
      </c>
      <c r="AA927" t="s">
        <v>419</v>
      </c>
      <c r="AB927">
        <v>0</v>
      </c>
      <c r="AK927" t="s">
        <v>642</v>
      </c>
      <c r="AL927" t="s">
        <v>290</v>
      </c>
    </row>
    <row r="928" spans="1:38">
      <c r="A928" s="146">
        <v>46221.55909722222</v>
      </c>
      <c r="B928" s="146">
        <v>46221</v>
      </c>
      <c r="C928">
        <v>2224358</v>
      </c>
      <c r="D928" t="s">
        <v>417</v>
      </c>
      <c r="E928" t="s">
        <v>659</v>
      </c>
      <c r="F928" t="s">
        <v>650</v>
      </c>
      <c r="G928" t="s">
        <v>231</v>
      </c>
      <c r="H928" t="s">
        <v>641</v>
      </c>
      <c r="I928" t="s">
        <v>1763</v>
      </c>
      <c r="J928">
        <v>5510</v>
      </c>
      <c r="K928" s="141">
        <v>47.936999999999998</v>
      </c>
      <c r="O928" t="s">
        <v>1751</v>
      </c>
      <c r="P928">
        <v>0</v>
      </c>
      <c r="Q928" t="s">
        <v>1751</v>
      </c>
      <c r="U928">
        <v>70</v>
      </c>
      <c r="W928" t="s">
        <v>958</v>
      </c>
      <c r="X928" t="s">
        <v>883</v>
      </c>
      <c r="Y928" t="s">
        <v>1760</v>
      </c>
      <c r="AA928" t="s">
        <v>419</v>
      </c>
      <c r="AB928">
        <v>0</v>
      </c>
      <c r="AK928" t="s">
        <v>642</v>
      </c>
      <c r="AL928" t="s">
        <v>290</v>
      </c>
    </row>
    <row r="929" spans="1:39">
      <c r="A929" s="146">
        <v>46221.559849537036</v>
      </c>
      <c r="B929" s="146">
        <v>46221</v>
      </c>
      <c r="C929">
        <v>2224358</v>
      </c>
      <c r="D929" t="s">
        <v>417</v>
      </c>
      <c r="E929" t="s">
        <v>659</v>
      </c>
      <c r="F929" t="s">
        <v>650</v>
      </c>
      <c r="G929" t="s">
        <v>469</v>
      </c>
      <c r="H929" t="s">
        <v>641</v>
      </c>
      <c r="I929" t="s">
        <v>1764</v>
      </c>
      <c r="J929">
        <v>2400</v>
      </c>
      <c r="K929" s="141">
        <v>48.24</v>
      </c>
      <c r="O929" t="s">
        <v>1751</v>
      </c>
      <c r="P929">
        <v>0</v>
      </c>
      <c r="Q929" t="s">
        <v>1751</v>
      </c>
      <c r="R929" t="s">
        <v>1761</v>
      </c>
      <c r="U929">
        <v>40</v>
      </c>
      <c r="W929" t="s">
        <v>958</v>
      </c>
      <c r="X929" t="s">
        <v>883</v>
      </c>
      <c r="Y929" t="s">
        <v>1762</v>
      </c>
      <c r="AA929" t="s">
        <v>419</v>
      </c>
      <c r="AB929">
        <v>0</v>
      </c>
      <c r="AK929" t="s">
        <v>642</v>
      </c>
      <c r="AL929" t="s">
        <v>290</v>
      </c>
    </row>
    <row r="930" spans="1:39">
      <c r="A930" s="146">
        <v>46221.56287037037</v>
      </c>
      <c r="B930" s="146">
        <v>46221</v>
      </c>
      <c r="C930">
        <v>2021742</v>
      </c>
      <c r="D930" t="s">
        <v>391</v>
      </c>
      <c r="E930" t="s">
        <v>659</v>
      </c>
      <c r="F930" t="s">
        <v>650</v>
      </c>
      <c r="G930" t="s">
        <v>232</v>
      </c>
      <c r="H930" t="s">
        <v>641</v>
      </c>
      <c r="I930" t="s">
        <v>1768</v>
      </c>
      <c r="J930">
        <v>930</v>
      </c>
      <c r="K930" s="141">
        <v>32.457000000000001</v>
      </c>
      <c r="O930" t="s">
        <v>1751</v>
      </c>
      <c r="P930">
        <v>0</v>
      </c>
      <c r="Q930" t="s">
        <v>1751</v>
      </c>
      <c r="U930">
        <v>30</v>
      </c>
      <c r="W930" t="s">
        <v>958</v>
      </c>
      <c r="X930" t="s">
        <v>883</v>
      </c>
      <c r="Y930" t="s">
        <v>1765</v>
      </c>
      <c r="AA930" t="s">
        <v>419</v>
      </c>
      <c r="AB930">
        <v>0</v>
      </c>
      <c r="AK930" t="s">
        <v>642</v>
      </c>
      <c r="AL930" t="s">
        <v>290</v>
      </c>
    </row>
    <row r="931" spans="1:39">
      <c r="A931" s="146">
        <v>46221.563310185185</v>
      </c>
      <c r="B931" s="146">
        <v>46221</v>
      </c>
      <c r="C931">
        <v>2021742</v>
      </c>
      <c r="D931" t="s">
        <v>391</v>
      </c>
      <c r="E931" t="s">
        <v>659</v>
      </c>
      <c r="F931" t="s">
        <v>650</v>
      </c>
      <c r="G931" t="s">
        <v>468</v>
      </c>
      <c r="H931" t="s">
        <v>641</v>
      </c>
      <c r="I931" t="s">
        <v>1769</v>
      </c>
      <c r="J931">
        <v>3210</v>
      </c>
      <c r="K931" s="141">
        <v>17.654999999999998</v>
      </c>
      <c r="O931" t="s">
        <v>1766</v>
      </c>
      <c r="P931">
        <v>0</v>
      </c>
      <c r="Q931" t="s">
        <v>1766</v>
      </c>
      <c r="U931">
        <v>60</v>
      </c>
      <c r="W931" t="s">
        <v>958</v>
      </c>
      <c r="X931" t="s">
        <v>883</v>
      </c>
      <c r="Y931" t="s">
        <v>1767</v>
      </c>
      <c r="AA931" t="s">
        <v>647</v>
      </c>
      <c r="AB931">
        <v>0</v>
      </c>
      <c r="AK931" t="s">
        <v>642</v>
      </c>
      <c r="AL931" t="s">
        <v>290</v>
      </c>
    </row>
    <row r="932" spans="1:39">
      <c r="A932" s="146">
        <v>46221.57775462963</v>
      </c>
      <c r="B932" s="146">
        <v>46221</v>
      </c>
      <c r="C932">
        <v>2222785</v>
      </c>
      <c r="D932" t="s">
        <v>399</v>
      </c>
      <c r="E932" t="s">
        <v>659</v>
      </c>
      <c r="F932" t="s">
        <v>650</v>
      </c>
      <c r="G932" t="s">
        <v>671</v>
      </c>
      <c r="H932" t="s">
        <v>641</v>
      </c>
      <c r="I932" t="s">
        <v>1771</v>
      </c>
      <c r="J932">
        <v>3020</v>
      </c>
      <c r="K932" s="141">
        <v>54.058</v>
      </c>
      <c r="L932">
        <v>0</v>
      </c>
      <c r="M932">
        <v>0</v>
      </c>
      <c r="N932">
        <v>54.058</v>
      </c>
      <c r="O932" t="s">
        <v>1766</v>
      </c>
      <c r="P932">
        <v>0</v>
      </c>
      <c r="Q932" t="s">
        <v>1766</v>
      </c>
      <c r="S932">
        <v>0</v>
      </c>
      <c r="T932">
        <v>1.1000000000000001</v>
      </c>
      <c r="U932">
        <v>45</v>
      </c>
      <c r="V932">
        <v>1.0168350168350169</v>
      </c>
      <c r="W932" t="s">
        <v>958</v>
      </c>
      <c r="X932" t="s">
        <v>883</v>
      </c>
      <c r="Y932" t="s">
        <v>1770</v>
      </c>
      <c r="AA932" t="s">
        <v>647</v>
      </c>
      <c r="AB932">
        <v>0</v>
      </c>
      <c r="AI932">
        <v>2</v>
      </c>
      <c r="AJ932">
        <v>3020</v>
      </c>
      <c r="AK932" t="s">
        <v>642</v>
      </c>
      <c r="AL932" t="s">
        <v>290</v>
      </c>
      <c r="AM932">
        <v>2</v>
      </c>
    </row>
    <row r="933" spans="1:39">
      <c r="A933" s="146">
        <v>46221.578587962962</v>
      </c>
      <c r="B933" s="146">
        <v>46221</v>
      </c>
      <c r="C933">
        <v>2222785</v>
      </c>
      <c r="D933" t="s">
        <v>399</v>
      </c>
      <c r="E933" t="s">
        <v>659</v>
      </c>
      <c r="F933" t="s">
        <v>650</v>
      </c>
      <c r="G933" t="s">
        <v>257</v>
      </c>
      <c r="H933" t="s">
        <v>641</v>
      </c>
      <c r="I933" t="s">
        <v>1773</v>
      </c>
      <c r="J933">
        <v>800</v>
      </c>
      <c r="K933" s="141">
        <v>57.199999999999996</v>
      </c>
      <c r="L933">
        <v>0</v>
      </c>
      <c r="M933">
        <v>0</v>
      </c>
      <c r="N933">
        <v>57.199999999999996</v>
      </c>
      <c r="O933" t="s">
        <v>1766</v>
      </c>
      <c r="P933">
        <v>0</v>
      </c>
      <c r="Q933" t="s">
        <v>1766</v>
      </c>
      <c r="S933">
        <v>0</v>
      </c>
      <c r="T933">
        <v>0.8</v>
      </c>
      <c r="U933">
        <v>17</v>
      </c>
      <c r="V933">
        <v>0.98039215686274517</v>
      </c>
      <c r="W933" t="s">
        <v>958</v>
      </c>
      <c r="X933" t="s">
        <v>883</v>
      </c>
      <c r="Y933" t="s">
        <v>1772</v>
      </c>
      <c r="AA933" t="s">
        <v>647</v>
      </c>
      <c r="AB933">
        <v>0</v>
      </c>
      <c r="AG933">
        <v>1</v>
      </c>
      <c r="AH933">
        <v>800</v>
      </c>
      <c r="AK933" t="s">
        <v>642</v>
      </c>
      <c r="AL933" t="s">
        <v>290</v>
      </c>
      <c r="AM933">
        <v>2</v>
      </c>
    </row>
    <row r="934" spans="1:39">
      <c r="A934" s="146">
        <v>46221.586319444446</v>
      </c>
      <c r="B934" s="146">
        <v>46221</v>
      </c>
      <c r="C934">
        <v>2220255</v>
      </c>
      <c r="D934" t="s">
        <v>396</v>
      </c>
      <c r="E934" t="s">
        <v>659</v>
      </c>
      <c r="F934" t="s">
        <v>654</v>
      </c>
      <c r="G934" t="s">
        <v>233</v>
      </c>
      <c r="H934" t="s">
        <v>641</v>
      </c>
      <c r="I934" t="s">
        <v>95</v>
      </c>
      <c r="J934">
        <v>0</v>
      </c>
      <c r="K934" s="141">
        <v>0</v>
      </c>
      <c r="L934">
        <v>0</v>
      </c>
      <c r="M934">
        <v>0</v>
      </c>
      <c r="N934">
        <v>0</v>
      </c>
      <c r="O934" t="s">
        <v>1766</v>
      </c>
      <c r="P934">
        <v>0</v>
      </c>
      <c r="Q934" t="s">
        <v>1766</v>
      </c>
      <c r="S934">
        <v>1</v>
      </c>
      <c r="T934">
        <v>1</v>
      </c>
      <c r="U934">
        <v>27</v>
      </c>
      <c r="V934">
        <v>0</v>
      </c>
      <c r="W934" t="s">
        <v>958</v>
      </c>
      <c r="X934" t="s">
        <v>883</v>
      </c>
      <c r="Y934" t="s">
        <v>1774</v>
      </c>
      <c r="AA934" t="s">
        <v>647</v>
      </c>
      <c r="AB934">
        <v>0</v>
      </c>
      <c r="AK934" t="s">
        <v>642</v>
      </c>
      <c r="AL934" t="s">
        <v>290</v>
      </c>
      <c r="AM934">
        <v>2</v>
      </c>
    </row>
    <row r="935" spans="1:39">
      <c r="A935" s="146">
        <v>46221.586319444446</v>
      </c>
      <c r="B935" s="146">
        <v>46221</v>
      </c>
      <c r="C935">
        <v>2220255</v>
      </c>
      <c r="D935" t="s">
        <v>396</v>
      </c>
      <c r="E935" t="s">
        <v>659</v>
      </c>
      <c r="F935" t="s">
        <v>650</v>
      </c>
      <c r="G935" t="s">
        <v>233</v>
      </c>
      <c r="H935" t="s">
        <v>641</v>
      </c>
      <c r="I935" t="s">
        <v>95</v>
      </c>
      <c r="J935">
        <v>1230</v>
      </c>
      <c r="K935" s="141">
        <v>63.468000000000004</v>
      </c>
      <c r="O935" t="s">
        <v>1766</v>
      </c>
      <c r="P935">
        <v>0</v>
      </c>
      <c r="Q935" t="s">
        <v>1766</v>
      </c>
      <c r="U935">
        <v>27</v>
      </c>
      <c r="W935" t="s">
        <v>958</v>
      </c>
      <c r="X935" t="s">
        <v>883</v>
      </c>
      <c r="Y935" t="s">
        <v>1774</v>
      </c>
      <c r="AA935" t="s">
        <v>647</v>
      </c>
      <c r="AB935">
        <v>0</v>
      </c>
      <c r="AK935" t="s">
        <v>642</v>
      </c>
      <c r="AL935" t="s">
        <v>290</v>
      </c>
    </row>
    <row r="936" spans="1:39">
      <c r="A936" s="146">
        <v>46221.56287037037</v>
      </c>
      <c r="B936" s="146">
        <v>46221</v>
      </c>
      <c r="C936">
        <v>2226596</v>
      </c>
      <c r="D936" t="s">
        <v>403</v>
      </c>
      <c r="E936" t="s">
        <v>643</v>
      </c>
      <c r="F936" t="s">
        <v>650</v>
      </c>
      <c r="G936" t="s">
        <v>232</v>
      </c>
      <c r="H936" t="s">
        <v>641</v>
      </c>
      <c r="I936" t="s">
        <v>1775</v>
      </c>
      <c r="J936">
        <v>2160</v>
      </c>
      <c r="K936" s="141">
        <v>80.02</v>
      </c>
      <c r="O936" t="s">
        <v>1751</v>
      </c>
      <c r="P936">
        <v>0</v>
      </c>
      <c r="Q936" t="s">
        <v>1751</v>
      </c>
      <c r="U936">
        <v>30</v>
      </c>
      <c r="W936" t="s">
        <v>958</v>
      </c>
      <c r="X936" t="s">
        <v>883</v>
      </c>
      <c r="Y936" t="s">
        <v>1765</v>
      </c>
      <c r="AA936" t="s">
        <v>419</v>
      </c>
      <c r="AB936">
        <v>0</v>
      </c>
      <c r="AK936" t="s">
        <v>642</v>
      </c>
      <c r="AL936" t="s">
        <v>290</v>
      </c>
    </row>
    <row r="937" spans="1:39">
      <c r="A937" s="146">
        <v>46221.56287037037</v>
      </c>
      <c r="B937" s="146">
        <v>46221.56287037037</v>
      </c>
      <c r="C937">
        <v>2241656</v>
      </c>
      <c r="D937" t="s">
        <v>409</v>
      </c>
      <c r="E937" t="s">
        <v>643</v>
      </c>
      <c r="F937" t="s">
        <v>650</v>
      </c>
      <c r="G937" t="s">
        <v>233</v>
      </c>
      <c r="H937" t="s">
        <v>641</v>
      </c>
      <c r="I937" t="s">
        <v>1776</v>
      </c>
      <c r="J937">
        <v>615</v>
      </c>
      <c r="K937" s="141">
        <v>30</v>
      </c>
      <c r="O937" t="s">
        <v>1676</v>
      </c>
      <c r="P937">
        <v>0</v>
      </c>
      <c r="Q937" t="s">
        <v>1676</v>
      </c>
      <c r="U937">
        <v>50</v>
      </c>
      <c r="W937" t="s">
        <v>958</v>
      </c>
      <c r="X937" t="s">
        <v>883</v>
      </c>
      <c r="Y937" t="s">
        <v>1651</v>
      </c>
      <c r="AA937" t="s">
        <v>419</v>
      </c>
      <c r="AB937">
        <v>0</v>
      </c>
      <c r="AK937" t="s">
        <v>642</v>
      </c>
      <c r="AL937" t="s">
        <v>290</v>
      </c>
    </row>
    <row r="938" spans="1:39">
      <c r="A938" s="146">
        <v>46221.56287037037</v>
      </c>
      <c r="B938" s="146">
        <v>46221.56287037037</v>
      </c>
      <c r="C938">
        <v>2241656</v>
      </c>
      <c r="D938" t="s">
        <v>409</v>
      </c>
      <c r="E938" t="s">
        <v>643</v>
      </c>
      <c r="F938" t="s">
        <v>650</v>
      </c>
      <c r="G938" t="s">
        <v>469</v>
      </c>
      <c r="H938" t="s">
        <v>641</v>
      </c>
      <c r="I938" t="s">
        <v>90</v>
      </c>
      <c r="J938">
        <v>2350</v>
      </c>
      <c r="K938" s="141">
        <v>60</v>
      </c>
      <c r="O938" t="s">
        <v>1676</v>
      </c>
      <c r="P938">
        <v>0</v>
      </c>
      <c r="Q938" t="s">
        <v>1676</v>
      </c>
      <c r="U938">
        <v>50</v>
      </c>
      <c r="W938" t="s">
        <v>958</v>
      </c>
      <c r="X938" t="s">
        <v>883</v>
      </c>
      <c r="Y938" t="s">
        <v>1651</v>
      </c>
      <c r="AA938" t="s">
        <v>419</v>
      </c>
      <c r="AB938">
        <v>0</v>
      </c>
      <c r="AK938" t="s">
        <v>642</v>
      </c>
      <c r="AL938" t="s">
        <v>290</v>
      </c>
    </row>
    <row r="939" spans="1:39">
      <c r="A939" s="146">
        <v>46221.56287037037</v>
      </c>
      <c r="B939" s="146">
        <v>46221.56287037037</v>
      </c>
      <c r="C939">
        <v>2020390</v>
      </c>
      <c r="D939" t="s">
        <v>629</v>
      </c>
      <c r="E939" t="s">
        <v>643</v>
      </c>
      <c r="F939" t="s">
        <v>650</v>
      </c>
      <c r="G939" t="s">
        <v>1777</v>
      </c>
      <c r="H939" t="s">
        <v>641</v>
      </c>
      <c r="I939" t="s">
        <v>87</v>
      </c>
      <c r="J939">
        <v>3210</v>
      </c>
      <c r="K939" s="141">
        <v>48</v>
      </c>
      <c r="O939" t="s">
        <v>1735</v>
      </c>
      <c r="P939">
        <v>0</v>
      </c>
      <c r="Q939" t="s">
        <v>1735</v>
      </c>
      <c r="U939">
        <v>30</v>
      </c>
      <c r="W939" t="s">
        <v>958</v>
      </c>
      <c r="X939" t="s">
        <v>883</v>
      </c>
      <c r="Y939" t="s">
        <v>1744</v>
      </c>
      <c r="AA939" t="s">
        <v>647</v>
      </c>
      <c r="AB939">
        <v>0</v>
      </c>
      <c r="AK939" t="s">
        <v>642</v>
      </c>
      <c r="AL939" t="s">
        <v>290</v>
      </c>
    </row>
    <row r="940" spans="1:39">
      <c r="A940" s="146">
        <v>46222.218946759262</v>
      </c>
      <c r="B940" s="146">
        <v>46221</v>
      </c>
      <c r="C940">
        <v>2221908</v>
      </c>
      <c r="D940" t="s">
        <v>398</v>
      </c>
      <c r="E940" t="s">
        <v>653</v>
      </c>
      <c r="F940" t="s">
        <v>650</v>
      </c>
      <c r="G940" t="s">
        <v>252</v>
      </c>
      <c r="H940" t="s">
        <v>641</v>
      </c>
      <c r="I940" t="s">
        <v>86</v>
      </c>
      <c r="J940">
        <v>3210</v>
      </c>
      <c r="K940" s="141">
        <v>27.927</v>
      </c>
      <c r="O940" t="s">
        <v>1766</v>
      </c>
      <c r="P940">
        <v>0</v>
      </c>
      <c r="Q940" t="s">
        <v>1766</v>
      </c>
      <c r="U940">
        <v>60</v>
      </c>
      <c r="W940" t="s">
        <v>958</v>
      </c>
      <c r="X940" t="s">
        <v>883</v>
      </c>
      <c r="Y940" t="s">
        <v>1778</v>
      </c>
      <c r="AA940" t="s">
        <v>647</v>
      </c>
      <c r="AB940">
        <v>0</v>
      </c>
      <c r="AK940" t="s">
        <v>642</v>
      </c>
      <c r="AL940" t="s">
        <v>290</v>
      </c>
    </row>
    <row r="941" spans="1:39">
      <c r="A941" s="146">
        <v>46223.553460648145</v>
      </c>
      <c r="B941" s="146">
        <v>46223.553460648145</v>
      </c>
      <c r="C941">
        <v>2020390</v>
      </c>
      <c r="D941" t="s">
        <v>382</v>
      </c>
      <c r="E941" t="s">
        <v>659</v>
      </c>
      <c r="F941" t="s">
        <v>650</v>
      </c>
      <c r="G941" t="s">
        <v>216</v>
      </c>
      <c r="H941" t="s">
        <v>641</v>
      </c>
      <c r="I941" t="s">
        <v>1780</v>
      </c>
      <c r="J941">
        <v>615</v>
      </c>
      <c r="K941" s="141">
        <v>31.734000000000002</v>
      </c>
      <c r="O941" t="s">
        <v>1766</v>
      </c>
      <c r="P941">
        <v>0</v>
      </c>
      <c r="Q941" t="s">
        <v>1766</v>
      </c>
      <c r="U941">
        <v>30</v>
      </c>
      <c r="W941" t="s">
        <v>958</v>
      </c>
      <c r="X941" t="s">
        <v>883</v>
      </c>
      <c r="Y941" t="s">
        <v>1779</v>
      </c>
      <c r="AA941" t="s">
        <v>419</v>
      </c>
      <c r="AB941">
        <v>0</v>
      </c>
      <c r="AK941" t="s">
        <v>642</v>
      </c>
      <c r="AL941" t="s">
        <v>290</v>
      </c>
    </row>
    <row r="942" spans="1:39">
      <c r="A942" s="146">
        <v>46223.560543981483</v>
      </c>
      <c r="B942" s="146">
        <v>46223.553460648145</v>
      </c>
      <c r="C942">
        <v>2224288</v>
      </c>
      <c r="D942" t="s">
        <v>401</v>
      </c>
      <c r="E942" t="s">
        <v>659</v>
      </c>
      <c r="F942" t="s">
        <v>650</v>
      </c>
      <c r="G942" t="s">
        <v>232</v>
      </c>
      <c r="H942" t="s">
        <v>641</v>
      </c>
      <c r="I942" t="s">
        <v>82</v>
      </c>
      <c r="J942">
        <v>3490</v>
      </c>
      <c r="K942" s="141">
        <v>121.801</v>
      </c>
      <c r="O942" t="s">
        <v>1766</v>
      </c>
      <c r="P942">
        <v>0</v>
      </c>
      <c r="Q942" t="s">
        <v>1766</v>
      </c>
      <c r="U942">
        <v>30</v>
      </c>
      <c r="W942" t="s">
        <v>958</v>
      </c>
      <c r="X942" t="s">
        <v>883</v>
      </c>
      <c r="Y942" t="s">
        <v>1781</v>
      </c>
      <c r="AA942" t="s">
        <v>419</v>
      </c>
      <c r="AB942">
        <v>0</v>
      </c>
      <c r="AK942" t="s">
        <v>642</v>
      </c>
      <c r="AL942" t="s">
        <v>290</v>
      </c>
    </row>
    <row r="943" spans="1:39">
      <c r="A943" s="146">
        <v>46223.560543981483</v>
      </c>
      <c r="B943" s="146">
        <v>46223.553460648145</v>
      </c>
      <c r="C943">
        <v>2224288</v>
      </c>
      <c r="D943" t="s">
        <v>401</v>
      </c>
      <c r="E943" t="s">
        <v>659</v>
      </c>
      <c r="F943" t="s">
        <v>650</v>
      </c>
      <c r="G943" t="s">
        <v>256</v>
      </c>
      <c r="H943" t="s">
        <v>641</v>
      </c>
      <c r="I943" t="s">
        <v>93</v>
      </c>
      <c r="J943">
        <v>1230</v>
      </c>
      <c r="K943" s="141">
        <v>60</v>
      </c>
      <c r="O943" t="s">
        <v>1766</v>
      </c>
      <c r="P943">
        <v>0</v>
      </c>
      <c r="Q943" t="s">
        <v>1766</v>
      </c>
      <c r="U943">
        <v>30</v>
      </c>
      <c r="W943" t="s">
        <v>958</v>
      </c>
      <c r="X943" t="s">
        <v>883</v>
      </c>
      <c r="Y943" t="s">
        <v>1781</v>
      </c>
      <c r="AA943" t="s">
        <v>419</v>
      </c>
      <c r="AB943">
        <v>0</v>
      </c>
      <c r="AK943" t="s">
        <v>642</v>
      </c>
      <c r="AL943" t="s">
        <v>290</v>
      </c>
    </row>
    <row r="944" spans="1:39">
      <c r="A944" s="146">
        <v>46223.794594907406</v>
      </c>
      <c r="B944" s="146">
        <v>46223</v>
      </c>
      <c r="C944">
        <v>1921551</v>
      </c>
      <c r="D944" t="s">
        <v>380</v>
      </c>
      <c r="E944" t="s">
        <v>643</v>
      </c>
      <c r="F944" t="s">
        <v>654</v>
      </c>
      <c r="G944" t="s">
        <v>430</v>
      </c>
      <c r="H944" t="s">
        <v>641</v>
      </c>
      <c r="I944" t="s">
        <v>88</v>
      </c>
      <c r="J944">
        <v>1230</v>
      </c>
      <c r="K944" s="141">
        <v>63.468000000000004</v>
      </c>
      <c r="L944">
        <v>0</v>
      </c>
      <c r="M944">
        <v>0</v>
      </c>
      <c r="N944">
        <v>63.468000000000004</v>
      </c>
      <c r="O944" t="s">
        <v>1766</v>
      </c>
      <c r="P944">
        <v>0</v>
      </c>
      <c r="Q944" t="s">
        <v>1766</v>
      </c>
      <c r="S944">
        <v>0</v>
      </c>
      <c r="T944">
        <v>1</v>
      </c>
      <c r="U944">
        <v>21</v>
      </c>
      <c r="V944">
        <v>0.97619047619047616</v>
      </c>
      <c r="W944" t="s">
        <v>958</v>
      </c>
      <c r="X944" t="s">
        <v>883</v>
      </c>
      <c r="Y944" t="s">
        <v>1783</v>
      </c>
      <c r="AA944" t="s">
        <v>419</v>
      </c>
      <c r="AB944">
        <v>0</v>
      </c>
      <c r="AI944">
        <v>2</v>
      </c>
      <c r="AJ944">
        <v>1230</v>
      </c>
      <c r="AK944" t="s">
        <v>642</v>
      </c>
      <c r="AL944" t="s">
        <v>59</v>
      </c>
      <c r="AM944">
        <v>2</v>
      </c>
    </row>
    <row r="945" spans="1:39">
      <c r="A945" s="146">
        <v>46223.826296296298</v>
      </c>
      <c r="B945" s="146">
        <v>46223</v>
      </c>
      <c r="C945">
        <v>2325365</v>
      </c>
      <c r="D945" t="s">
        <v>414</v>
      </c>
      <c r="E945" t="s">
        <v>643</v>
      </c>
      <c r="F945" t="s">
        <v>650</v>
      </c>
      <c r="G945" t="s">
        <v>661</v>
      </c>
      <c r="H945" t="s">
        <v>641</v>
      </c>
      <c r="I945" t="s">
        <v>97</v>
      </c>
      <c r="J945">
        <v>1020</v>
      </c>
      <c r="K945" s="141">
        <v>72.929999999999993</v>
      </c>
      <c r="O945" t="s">
        <v>1766</v>
      </c>
      <c r="P945">
        <v>0</v>
      </c>
      <c r="Q945" t="s">
        <v>1766</v>
      </c>
      <c r="U945">
        <v>17</v>
      </c>
      <c r="W945" t="s">
        <v>958</v>
      </c>
      <c r="X945" t="s">
        <v>883</v>
      </c>
      <c r="Y945" t="s">
        <v>1784</v>
      </c>
      <c r="AA945" t="s">
        <v>419</v>
      </c>
      <c r="AB945">
        <v>0</v>
      </c>
      <c r="AK945" t="s">
        <v>642</v>
      </c>
      <c r="AL945" t="s">
        <v>290</v>
      </c>
    </row>
    <row r="946" spans="1:39">
      <c r="A946" s="146">
        <v>46223.827048611114</v>
      </c>
      <c r="B946" s="146">
        <v>46223</v>
      </c>
      <c r="C946">
        <v>2325365</v>
      </c>
      <c r="D946" t="s">
        <v>414</v>
      </c>
      <c r="E946" t="s">
        <v>643</v>
      </c>
      <c r="F946" t="s">
        <v>650</v>
      </c>
      <c r="G946" t="s">
        <v>661</v>
      </c>
      <c r="H946" t="s">
        <v>641</v>
      </c>
      <c r="I946" t="s">
        <v>97</v>
      </c>
      <c r="J946">
        <v>1020</v>
      </c>
      <c r="K946" s="141">
        <v>72.929999999999993</v>
      </c>
      <c r="O946" t="s">
        <v>1766</v>
      </c>
      <c r="P946">
        <v>0</v>
      </c>
      <c r="Q946" t="s">
        <v>1766</v>
      </c>
      <c r="U946">
        <v>17</v>
      </c>
      <c r="W946" t="s">
        <v>958</v>
      </c>
      <c r="X946" t="s">
        <v>883</v>
      </c>
      <c r="Y946" t="s">
        <v>1785</v>
      </c>
      <c r="AA946" t="s">
        <v>419</v>
      </c>
      <c r="AB946">
        <v>0</v>
      </c>
      <c r="AK946" t="s">
        <v>642</v>
      </c>
      <c r="AL946" t="s">
        <v>290</v>
      </c>
    </row>
    <row r="947" spans="1:39">
      <c r="A947" s="146">
        <v>46223.833449074074</v>
      </c>
      <c r="B947" s="146">
        <v>46223</v>
      </c>
      <c r="C947">
        <v>2325365</v>
      </c>
      <c r="D947" t="s">
        <v>414</v>
      </c>
      <c r="E947" t="s">
        <v>643</v>
      </c>
      <c r="F947" t="s">
        <v>654</v>
      </c>
      <c r="G947" t="s">
        <v>661</v>
      </c>
      <c r="H947" t="s">
        <v>641</v>
      </c>
      <c r="I947" t="s">
        <v>97</v>
      </c>
      <c r="J947">
        <v>510</v>
      </c>
      <c r="K947" s="141">
        <v>36.464999999999996</v>
      </c>
      <c r="L947">
        <v>0</v>
      </c>
      <c r="M947">
        <v>0</v>
      </c>
      <c r="N947">
        <v>36.464999999999996</v>
      </c>
      <c r="O947" t="s">
        <v>1766</v>
      </c>
      <c r="P947">
        <v>0</v>
      </c>
      <c r="Q947" t="s">
        <v>1766</v>
      </c>
      <c r="S947">
        <v>0</v>
      </c>
      <c r="T947">
        <v>0.5</v>
      </c>
      <c r="U947">
        <v>17</v>
      </c>
      <c r="V947">
        <v>1</v>
      </c>
      <c r="W947" t="s">
        <v>958</v>
      </c>
      <c r="X947" t="s">
        <v>883</v>
      </c>
      <c r="Y947" t="s">
        <v>1786</v>
      </c>
      <c r="AA947" t="s">
        <v>419</v>
      </c>
      <c r="AB947">
        <v>0</v>
      </c>
      <c r="AJ947">
        <v>510</v>
      </c>
      <c r="AK947" t="s">
        <v>642</v>
      </c>
      <c r="AL947" t="s">
        <v>290</v>
      </c>
      <c r="AM947">
        <v>2</v>
      </c>
    </row>
    <row r="948" spans="1:39">
      <c r="A948" s="146">
        <v>46223.794594907406</v>
      </c>
      <c r="B948" s="146">
        <v>46223</v>
      </c>
      <c r="C948">
        <v>1921551</v>
      </c>
      <c r="D948" t="s">
        <v>380</v>
      </c>
      <c r="E948" t="s">
        <v>643</v>
      </c>
      <c r="F948" t="s">
        <v>650</v>
      </c>
      <c r="G948" t="s">
        <v>216</v>
      </c>
      <c r="H948" t="s">
        <v>641</v>
      </c>
      <c r="I948" t="s">
        <v>88</v>
      </c>
      <c r="J948">
        <v>1230</v>
      </c>
      <c r="K948" s="141">
        <v>63.468000000000004</v>
      </c>
      <c r="L948">
        <v>0</v>
      </c>
      <c r="M948">
        <v>0</v>
      </c>
      <c r="N948">
        <v>63.468000000000004</v>
      </c>
      <c r="O948" t="s">
        <v>1766</v>
      </c>
      <c r="P948">
        <v>0</v>
      </c>
      <c r="Q948" t="s">
        <v>1766</v>
      </c>
      <c r="S948">
        <v>0</v>
      </c>
      <c r="T948">
        <v>1</v>
      </c>
      <c r="U948">
        <v>21</v>
      </c>
      <c r="V948">
        <v>0.97619047619047616</v>
      </c>
      <c r="W948" t="s">
        <v>958</v>
      </c>
      <c r="X948" t="s">
        <v>883</v>
      </c>
      <c r="Y948" t="s">
        <v>1783</v>
      </c>
      <c r="AA948" t="s">
        <v>419</v>
      </c>
      <c r="AB948">
        <v>0</v>
      </c>
      <c r="AI948">
        <v>2</v>
      </c>
      <c r="AJ948">
        <v>1230</v>
      </c>
      <c r="AK948" t="s">
        <v>642</v>
      </c>
      <c r="AL948" t="s">
        <v>59</v>
      </c>
      <c r="AM948">
        <v>2</v>
      </c>
    </row>
    <row r="949" spans="1:39">
      <c r="A949" s="146">
        <v>46223.851851851854</v>
      </c>
      <c r="B949" s="146">
        <v>46223</v>
      </c>
      <c r="C949">
        <v>2325365</v>
      </c>
      <c r="D949" t="s">
        <v>414</v>
      </c>
      <c r="E949" t="s">
        <v>643</v>
      </c>
      <c r="F949" t="s">
        <v>650</v>
      </c>
      <c r="G949" t="s">
        <v>222</v>
      </c>
      <c r="H949" t="s">
        <v>641</v>
      </c>
      <c r="I949" t="s">
        <v>1788</v>
      </c>
      <c r="J949">
        <v>2210</v>
      </c>
      <c r="K949" s="141">
        <v>39.558999999999997</v>
      </c>
      <c r="O949" t="s">
        <v>1766</v>
      </c>
      <c r="P949">
        <v>0</v>
      </c>
      <c r="Q949" t="s">
        <v>1766</v>
      </c>
      <c r="U949">
        <v>50</v>
      </c>
      <c r="W949" t="s">
        <v>958</v>
      </c>
      <c r="X949" t="s">
        <v>883</v>
      </c>
      <c r="Y949" t="s">
        <v>1787</v>
      </c>
      <c r="AA949" t="s">
        <v>419</v>
      </c>
      <c r="AB949">
        <v>0</v>
      </c>
      <c r="AK949" t="s">
        <v>642</v>
      </c>
      <c r="AL949" t="s">
        <v>290</v>
      </c>
    </row>
    <row r="950" spans="1:39">
      <c r="A950" s="146">
        <v>46223.869976851849</v>
      </c>
      <c r="B950" s="146">
        <v>46223</v>
      </c>
      <c r="C950">
        <v>2221908</v>
      </c>
      <c r="D950" t="s">
        <v>398</v>
      </c>
      <c r="E950" t="s">
        <v>643</v>
      </c>
      <c r="F950" t="s">
        <v>650</v>
      </c>
      <c r="G950" t="s">
        <v>1747</v>
      </c>
      <c r="H950" t="s">
        <v>641</v>
      </c>
      <c r="I950" t="s">
        <v>1791</v>
      </c>
      <c r="J950">
        <v>2790</v>
      </c>
      <c r="K950" s="141">
        <v>97.370999999999995</v>
      </c>
      <c r="O950" t="s">
        <v>1789</v>
      </c>
      <c r="P950">
        <v>0</v>
      </c>
      <c r="Q950" t="s">
        <v>1789</v>
      </c>
      <c r="U950">
        <v>30</v>
      </c>
      <c r="W950" t="s">
        <v>958</v>
      </c>
      <c r="X950" t="s">
        <v>883</v>
      </c>
      <c r="Y950" t="s">
        <v>1790</v>
      </c>
      <c r="AA950" t="s">
        <v>419</v>
      </c>
      <c r="AB950">
        <v>0</v>
      </c>
      <c r="AK950" t="s">
        <v>642</v>
      </c>
      <c r="AL950" t="s">
        <v>290</v>
      </c>
    </row>
    <row r="951" spans="1:39">
      <c r="A951" s="146">
        <v>46223.873344907406</v>
      </c>
      <c r="B951" s="146">
        <v>46223</v>
      </c>
      <c r="C951">
        <v>2325310</v>
      </c>
      <c r="D951" t="s">
        <v>413</v>
      </c>
      <c r="E951" t="s">
        <v>643</v>
      </c>
      <c r="F951" t="s">
        <v>650</v>
      </c>
      <c r="G951" t="s">
        <v>230</v>
      </c>
      <c r="H951" t="s">
        <v>641</v>
      </c>
      <c r="I951" t="s">
        <v>87</v>
      </c>
      <c r="J951">
        <v>12840</v>
      </c>
      <c r="K951" s="141">
        <v>111.708</v>
      </c>
      <c r="O951" t="s">
        <v>1792</v>
      </c>
      <c r="P951">
        <v>0</v>
      </c>
      <c r="Q951" t="s">
        <v>1792</v>
      </c>
      <c r="U951">
        <v>70</v>
      </c>
      <c r="W951" t="s">
        <v>958</v>
      </c>
      <c r="X951" t="s">
        <v>883</v>
      </c>
      <c r="Y951" t="s">
        <v>1793</v>
      </c>
      <c r="AA951" t="s">
        <v>647</v>
      </c>
      <c r="AB951">
        <v>0</v>
      </c>
      <c r="AK951" t="s">
        <v>642</v>
      </c>
      <c r="AL951" t="s">
        <v>290</v>
      </c>
    </row>
    <row r="952" spans="1:39">
      <c r="A952" s="146">
        <v>46223.876446759263</v>
      </c>
      <c r="B952" s="146">
        <v>46223</v>
      </c>
      <c r="C952">
        <v>2325295</v>
      </c>
      <c r="D952" t="s">
        <v>411</v>
      </c>
      <c r="E952" t="s">
        <v>643</v>
      </c>
      <c r="F952" t="s">
        <v>650</v>
      </c>
      <c r="G952" t="s">
        <v>673</v>
      </c>
      <c r="H952" t="s">
        <v>641</v>
      </c>
      <c r="I952" t="s">
        <v>1795</v>
      </c>
      <c r="J952">
        <v>3020</v>
      </c>
      <c r="K952" s="141">
        <v>60.701999999999998</v>
      </c>
      <c r="O952" t="s">
        <v>1792</v>
      </c>
      <c r="P952">
        <v>0</v>
      </c>
      <c r="Q952" t="s">
        <v>1792</v>
      </c>
      <c r="U952">
        <v>40</v>
      </c>
      <c r="W952" t="s">
        <v>958</v>
      </c>
      <c r="X952" t="s">
        <v>883</v>
      </c>
      <c r="Y952" t="s">
        <v>1794</v>
      </c>
      <c r="AA952" t="s">
        <v>647</v>
      </c>
      <c r="AB952">
        <v>0</v>
      </c>
      <c r="AK952" t="s">
        <v>642</v>
      </c>
      <c r="AL952" t="s">
        <v>290</v>
      </c>
    </row>
    <row r="953" spans="1:39">
      <c r="A953" s="146">
        <v>46224.514733796299</v>
      </c>
      <c r="B953" s="146">
        <v>46223</v>
      </c>
      <c r="C953">
        <v>2020390</v>
      </c>
      <c r="D953" t="s">
        <v>382</v>
      </c>
      <c r="E953" t="s">
        <v>653</v>
      </c>
      <c r="F953" t="s">
        <v>650</v>
      </c>
      <c r="G953" t="s">
        <v>228</v>
      </c>
      <c r="H953" t="s">
        <v>641</v>
      </c>
      <c r="I953" t="s">
        <v>88</v>
      </c>
      <c r="K953" s="141">
        <v>0</v>
      </c>
      <c r="L953">
        <v>0</v>
      </c>
      <c r="M953">
        <v>0</v>
      </c>
      <c r="N953">
        <v>444.27600000000001</v>
      </c>
      <c r="O953" t="s">
        <v>1823</v>
      </c>
      <c r="P953">
        <v>0</v>
      </c>
      <c r="Q953" t="s">
        <v>1823</v>
      </c>
      <c r="R953" t="s">
        <v>1824</v>
      </c>
      <c r="S953">
        <v>0</v>
      </c>
      <c r="T953">
        <v>7</v>
      </c>
      <c r="U953">
        <v>21</v>
      </c>
      <c r="V953">
        <v>0.97619047619047616</v>
      </c>
      <c r="W953" t="s">
        <v>958</v>
      </c>
      <c r="X953" t="s">
        <v>883</v>
      </c>
      <c r="Y953" t="s">
        <v>1825</v>
      </c>
      <c r="AA953" t="s">
        <v>419</v>
      </c>
      <c r="AB953">
        <v>47</v>
      </c>
      <c r="AC953" t="s">
        <v>1821</v>
      </c>
      <c r="AJ953">
        <v>8610</v>
      </c>
      <c r="AK953" t="s">
        <v>642</v>
      </c>
      <c r="AL953" t="s">
        <v>59</v>
      </c>
      <c r="AM953">
        <v>2</v>
      </c>
    </row>
    <row r="954" spans="1:39">
      <c r="A954" s="146">
        <v>46223.892835648148</v>
      </c>
      <c r="B954" s="146">
        <v>46223</v>
      </c>
      <c r="C954">
        <v>2022158</v>
      </c>
      <c r="D954" t="s">
        <v>394</v>
      </c>
      <c r="E954" t="s">
        <v>643</v>
      </c>
      <c r="F954" t="s">
        <v>650</v>
      </c>
      <c r="G954" t="s">
        <v>232</v>
      </c>
      <c r="H954" t="s">
        <v>641</v>
      </c>
      <c r="I954" t="s">
        <v>1797</v>
      </c>
      <c r="J954">
        <v>930</v>
      </c>
      <c r="K954" s="141">
        <v>32.457000000000001</v>
      </c>
      <c r="O954" t="s">
        <v>1792</v>
      </c>
      <c r="P954">
        <v>0</v>
      </c>
      <c r="Q954" t="s">
        <v>1792</v>
      </c>
      <c r="U954">
        <v>30</v>
      </c>
      <c r="W954" t="s">
        <v>958</v>
      </c>
      <c r="X954" t="s">
        <v>883</v>
      </c>
      <c r="Y954" t="s">
        <v>1796</v>
      </c>
      <c r="AA954" t="s">
        <v>647</v>
      </c>
      <c r="AB954">
        <v>0</v>
      </c>
      <c r="AK954" t="s">
        <v>642</v>
      </c>
      <c r="AL954" t="s">
        <v>290</v>
      </c>
    </row>
    <row r="955" spans="1:39">
      <c r="A955" s="146">
        <v>46223.893842592595</v>
      </c>
      <c r="B955" s="146">
        <v>46223</v>
      </c>
      <c r="C955">
        <v>2221908</v>
      </c>
      <c r="D955" t="s">
        <v>398</v>
      </c>
      <c r="E955" t="s">
        <v>643</v>
      </c>
      <c r="F955" t="s">
        <v>650</v>
      </c>
      <c r="G955" t="s">
        <v>425</v>
      </c>
      <c r="H955" t="s">
        <v>641</v>
      </c>
      <c r="I955" t="s">
        <v>1799</v>
      </c>
      <c r="J955">
        <v>6420</v>
      </c>
      <c r="K955" s="141">
        <v>35.309999999999995</v>
      </c>
      <c r="O955" t="s">
        <v>1792</v>
      </c>
      <c r="P955">
        <v>0</v>
      </c>
      <c r="Q955" t="s">
        <v>1792</v>
      </c>
      <c r="U955">
        <v>60</v>
      </c>
      <c r="W955" t="s">
        <v>958</v>
      </c>
      <c r="X955" t="s">
        <v>883</v>
      </c>
      <c r="Y955" t="s">
        <v>1798</v>
      </c>
      <c r="AA955" t="s">
        <v>647</v>
      </c>
      <c r="AB955">
        <v>0</v>
      </c>
      <c r="AK955" t="s">
        <v>642</v>
      </c>
      <c r="AL955" t="s">
        <v>290</v>
      </c>
    </row>
    <row r="956" spans="1:39">
      <c r="A956" s="146">
        <v>46223.913784722223</v>
      </c>
      <c r="B956" s="146">
        <v>46223</v>
      </c>
      <c r="C956">
        <v>2022158</v>
      </c>
      <c r="D956" t="s">
        <v>394</v>
      </c>
      <c r="E956" t="s">
        <v>643</v>
      </c>
      <c r="F956" t="s">
        <v>650</v>
      </c>
      <c r="G956" t="s">
        <v>250</v>
      </c>
      <c r="H956" t="s">
        <v>641</v>
      </c>
      <c r="I956" t="s">
        <v>99</v>
      </c>
      <c r="J956">
        <v>420</v>
      </c>
      <c r="K956" s="141">
        <v>58.548000000000002</v>
      </c>
      <c r="O956" t="s">
        <v>1800</v>
      </c>
      <c r="P956">
        <v>0</v>
      </c>
      <c r="Q956" t="s">
        <v>1800</v>
      </c>
      <c r="U956">
        <v>10</v>
      </c>
      <c r="W956" t="s">
        <v>958</v>
      </c>
      <c r="X956" t="s">
        <v>883</v>
      </c>
      <c r="Y956" t="s">
        <v>1802</v>
      </c>
      <c r="AA956" t="s">
        <v>419</v>
      </c>
      <c r="AB956">
        <v>0</v>
      </c>
      <c r="AK956" t="s">
        <v>642</v>
      </c>
      <c r="AL956" t="s">
        <v>290</v>
      </c>
    </row>
    <row r="957" spans="1:39">
      <c r="A957" s="146">
        <v>46224.194884259261</v>
      </c>
      <c r="B957" s="146">
        <v>46223</v>
      </c>
      <c r="C957">
        <v>2243991</v>
      </c>
      <c r="D957" t="s">
        <v>410</v>
      </c>
      <c r="E957" t="s">
        <v>653</v>
      </c>
      <c r="F957" t="s">
        <v>650</v>
      </c>
      <c r="G957" t="s">
        <v>1747</v>
      </c>
      <c r="H957" t="s">
        <v>641</v>
      </c>
      <c r="I957" t="s">
        <v>1808</v>
      </c>
      <c r="J957">
        <v>1860</v>
      </c>
      <c r="K957" s="141">
        <v>32.457000000000001</v>
      </c>
      <c r="O957" t="s">
        <v>1800</v>
      </c>
      <c r="P957">
        <v>0</v>
      </c>
      <c r="Q957" t="s">
        <v>1800</v>
      </c>
      <c r="R957" t="s">
        <v>1803</v>
      </c>
      <c r="U957">
        <v>30</v>
      </c>
      <c r="W957" t="s">
        <v>958</v>
      </c>
      <c r="X957" t="s">
        <v>883</v>
      </c>
      <c r="Y957" t="s">
        <v>1804</v>
      </c>
      <c r="AA957" t="s">
        <v>419</v>
      </c>
      <c r="AB957">
        <v>0</v>
      </c>
      <c r="AK957" t="s">
        <v>642</v>
      </c>
      <c r="AL957" t="s">
        <v>290</v>
      </c>
    </row>
    <row r="958" spans="1:39">
      <c r="A958" s="146">
        <v>46224.197245370371</v>
      </c>
      <c r="B958" s="146">
        <v>46223</v>
      </c>
      <c r="C958">
        <v>2243991</v>
      </c>
      <c r="D958" t="s">
        <v>410</v>
      </c>
      <c r="E958" t="s">
        <v>653</v>
      </c>
      <c r="F958" t="s">
        <v>654</v>
      </c>
      <c r="G958" t="s">
        <v>228</v>
      </c>
      <c r="H958" t="s">
        <v>641</v>
      </c>
      <c r="I958" t="s">
        <v>88</v>
      </c>
      <c r="J958">
        <v>3075</v>
      </c>
      <c r="K958" s="141">
        <v>158.66999999999999</v>
      </c>
      <c r="L958">
        <v>0</v>
      </c>
      <c r="M958">
        <v>0</v>
      </c>
      <c r="N958">
        <v>158.66999999999999</v>
      </c>
      <c r="O958" t="s">
        <v>1800</v>
      </c>
      <c r="P958">
        <v>0</v>
      </c>
      <c r="Q958" t="s">
        <v>1800</v>
      </c>
      <c r="R958" t="s">
        <v>1807</v>
      </c>
      <c r="S958">
        <v>0</v>
      </c>
      <c r="T958">
        <v>2.5</v>
      </c>
      <c r="U958">
        <v>21</v>
      </c>
      <c r="V958">
        <v>0.97619047619047616</v>
      </c>
      <c r="W958" t="s">
        <v>958</v>
      </c>
      <c r="X958" t="s">
        <v>883</v>
      </c>
      <c r="Y958" t="s">
        <v>1805</v>
      </c>
      <c r="AA958" t="s">
        <v>419</v>
      </c>
      <c r="AB958">
        <v>0</v>
      </c>
      <c r="AI958">
        <v>5</v>
      </c>
      <c r="AJ958">
        <v>3075</v>
      </c>
      <c r="AK958" t="s">
        <v>642</v>
      </c>
      <c r="AL958" t="s">
        <v>59</v>
      </c>
      <c r="AM958">
        <v>2</v>
      </c>
    </row>
    <row r="959" spans="1:39">
      <c r="A959" s="146">
        <v>46224.197245370371</v>
      </c>
      <c r="B959" s="146">
        <v>46223</v>
      </c>
      <c r="C959">
        <v>2243991</v>
      </c>
      <c r="D959" t="s">
        <v>410</v>
      </c>
      <c r="E959" t="s">
        <v>653</v>
      </c>
      <c r="F959" t="s">
        <v>650</v>
      </c>
      <c r="G959" t="s">
        <v>228</v>
      </c>
      <c r="H959" t="s">
        <v>641</v>
      </c>
      <c r="I959" t="s">
        <v>1806</v>
      </c>
      <c r="J959">
        <v>1780</v>
      </c>
      <c r="K959" s="141">
        <v>91.847999999999999</v>
      </c>
      <c r="L959">
        <v>0</v>
      </c>
      <c r="M959">
        <v>0</v>
      </c>
      <c r="O959" t="s">
        <v>1800</v>
      </c>
      <c r="P959">
        <v>0</v>
      </c>
      <c r="Q959" t="s">
        <v>1800</v>
      </c>
      <c r="R959" t="s">
        <v>1807</v>
      </c>
      <c r="U959">
        <v>21</v>
      </c>
      <c r="W959" t="s">
        <v>958</v>
      </c>
      <c r="X959" t="s">
        <v>883</v>
      </c>
      <c r="Y959" t="s">
        <v>1805</v>
      </c>
      <c r="AA959" t="s">
        <v>419</v>
      </c>
      <c r="AB959">
        <v>0</v>
      </c>
      <c r="AK959" t="s">
        <v>642</v>
      </c>
      <c r="AL959" t="s">
        <v>59</v>
      </c>
    </row>
    <row r="960" spans="1:39">
      <c r="A960" s="146">
        <v>46224.222708333335</v>
      </c>
      <c r="B960" s="146">
        <v>46223</v>
      </c>
      <c r="C960">
        <v>2224358</v>
      </c>
      <c r="D960" t="s">
        <v>417</v>
      </c>
      <c r="E960" t="s">
        <v>653</v>
      </c>
      <c r="F960" t="s">
        <v>650</v>
      </c>
      <c r="G960" t="s">
        <v>223</v>
      </c>
      <c r="H960" t="s">
        <v>641</v>
      </c>
      <c r="I960" t="s">
        <v>1811</v>
      </c>
      <c r="J960">
        <v>3210</v>
      </c>
      <c r="K960" s="141">
        <v>112.029</v>
      </c>
      <c r="O960" t="s">
        <v>1800</v>
      </c>
      <c r="P960">
        <v>0</v>
      </c>
      <c r="Q960" t="s">
        <v>1800</v>
      </c>
      <c r="R960" t="s">
        <v>1809</v>
      </c>
      <c r="U960">
        <v>42</v>
      </c>
      <c r="W960" t="s">
        <v>958</v>
      </c>
      <c r="X960" t="s">
        <v>883</v>
      </c>
      <c r="Y960" t="s">
        <v>1810</v>
      </c>
      <c r="AA960" t="s">
        <v>419</v>
      </c>
      <c r="AB960">
        <v>0</v>
      </c>
      <c r="AK960" t="s">
        <v>642</v>
      </c>
      <c r="AL960" t="s">
        <v>290</v>
      </c>
    </row>
    <row r="961" spans="1:39">
      <c r="A961" s="146">
        <v>46224.229166666664</v>
      </c>
      <c r="B961" s="146">
        <v>46223</v>
      </c>
      <c r="C961">
        <v>2222785</v>
      </c>
      <c r="D961" t="s">
        <v>399</v>
      </c>
      <c r="E961" t="s">
        <v>653</v>
      </c>
      <c r="F961" t="s">
        <v>650</v>
      </c>
      <c r="G961" t="s">
        <v>222</v>
      </c>
      <c r="H961" t="s">
        <v>641</v>
      </c>
      <c r="I961" t="s">
        <v>1813</v>
      </c>
      <c r="J961">
        <v>1510</v>
      </c>
      <c r="K961" s="141">
        <v>27.029</v>
      </c>
      <c r="L961">
        <v>0</v>
      </c>
      <c r="M961">
        <v>0</v>
      </c>
      <c r="N961">
        <v>27.029</v>
      </c>
      <c r="O961" t="s">
        <v>1800</v>
      </c>
      <c r="P961">
        <v>0</v>
      </c>
      <c r="Q961" t="s">
        <v>1800</v>
      </c>
      <c r="S961">
        <v>0</v>
      </c>
      <c r="T961">
        <v>0.5</v>
      </c>
      <c r="U961">
        <v>50</v>
      </c>
      <c r="V961">
        <v>1.0066666666666666</v>
      </c>
      <c r="W961" t="s">
        <v>958</v>
      </c>
      <c r="X961" t="s">
        <v>883</v>
      </c>
      <c r="Y961" t="s">
        <v>1812</v>
      </c>
      <c r="AA961" t="s">
        <v>419</v>
      </c>
      <c r="AB961">
        <v>0</v>
      </c>
      <c r="AG961">
        <v>1</v>
      </c>
      <c r="AH961">
        <v>1510</v>
      </c>
      <c r="AK961" t="s">
        <v>642</v>
      </c>
      <c r="AL961" t="s">
        <v>290</v>
      </c>
      <c r="AM961">
        <v>2</v>
      </c>
    </row>
    <row r="962" spans="1:39">
      <c r="A962" s="146">
        <v>46224.232187499998</v>
      </c>
      <c r="B962" s="146">
        <v>46223</v>
      </c>
      <c r="C962">
        <v>2021742</v>
      </c>
      <c r="D962" t="s">
        <v>391</v>
      </c>
      <c r="E962" t="s">
        <v>653</v>
      </c>
      <c r="F962" t="s">
        <v>650</v>
      </c>
      <c r="G962" t="s">
        <v>232</v>
      </c>
      <c r="H962" t="s">
        <v>641</v>
      </c>
      <c r="I962" t="s">
        <v>1817</v>
      </c>
      <c r="J962">
        <v>2460</v>
      </c>
      <c r="K962" s="141">
        <v>85.853999999999999</v>
      </c>
      <c r="O962" t="s">
        <v>1800</v>
      </c>
      <c r="P962">
        <v>0</v>
      </c>
      <c r="Q962" t="s">
        <v>1800</v>
      </c>
      <c r="U962">
        <v>27</v>
      </c>
      <c r="W962" t="s">
        <v>958</v>
      </c>
      <c r="X962" t="s">
        <v>883</v>
      </c>
      <c r="Y962" t="s">
        <v>1814</v>
      </c>
      <c r="AA962" t="s">
        <v>419</v>
      </c>
      <c r="AB962">
        <v>0</v>
      </c>
      <c r="AK962" t="s">
        <v>642</v>
      </c>
      <c r="AL962" t="s">
        <v>290</v>
      </c>
    </row>
    <row r="963" spans="1:39">
      <c r="A963" s="146">
        <v>46224.233495370368</v>
      </c>
      <c r="B963" s="146">
        <v>46223</v>
      </c>
      <c r="C963">
        <v>2021742</v>
      </c>
      <c r="D963" t="s">
        <v>391</v>
      </c>
      <c r="E963" t="s">
        <v>653</v>
      </c>
      <c r="F963" t="s">
        <v>650</v>
      </c>
      <c r="G963" t="s">
        <v>222</v>
      </c>
      <c r="H963" t="s">
        <v>641</v>
      </c>
      <c r="I963" t="s">
        <v>1818</v>
      </c>
      <c r="J963">
        <v>2210</v>
      </c>
      <c r="K963" s="141">
        <v>39.558999999999997</v>
      </c>
      <c r="O963" t="s">
        <v>1815</v>
      </c>
      <c r="P963">
        <v>0</v>
      </c>
      <c r="Q963" t="s">
        <v>1815</v>
      </c>
      <c r="U963">
        <v>50</v>
      </c>
      <c r="W963" t="s">
        <v>958</v>
      </c>
      <c r="X963" t="s">
        <v>883</v>
      </c>
      <c r="Y963" t="s">
        <v>1816</v>
      </c>
      <c r="AA963" t="s">
        <v>647</v>
      </c>
      <c r="AB963">
        <v>0</v>
      </c>
      <c r="AK963" t="s">
        <v>642</v>
      </c>
      <c r="AL963" t="s">
        <v>290</v>
      </c>
    </row>
    <row r="964" spans="1:39">
      <c r="A964" s="146">
        <v>46224.24790509259</v>
      </c>
      <c r="B964" s="146">
        <v>46223</v>
      </c>
      <c r="C964">
        <v>2020488</v>
      </c>
      <c r="D964" t="s">
        <v>383</v>
      </c>
      <c r="E964" t="s">
        <v>653</v>
      </c>
      <c r="F964" t="s">
        <v>650</v>
      </c>
      <c r="G964" t="s">
        <v>425</v>
      </c>
      <c r="H964" t="s">
        <v>641</v>
      </c>
      <c r="I964" t="s">
        <v>86</v>
      </c>
      <c r="J964">
        <v>6420</v>
      </c>
      <c r="K964" s="141">
        <v>35.309999999999995</v>
      </c>
      <c r="O964" t="s">
        <v>1815</v>
      </c>
      <c r="P964">
        <v>0</v>
      </c>
      <c r="Q964" t="s">
        <v>1815</v>
      </c>
      <c r="U964">
        <v>60</v>
      </c>
      <c r="W964" t="s">
        <v>958</v>
      </c>
      <c r="X964" t="s">
        <v>883</v>
      </c>
      <c r="Y964" t="s">
        <v>1819</v>
      </c>
      <c r="AA964" t="s">
        <v>647</v>
      </c>
      <c r="AB964">
        <v>0</v>
      </c>
      <c r="AK964" t="s">
        <v>642</v>
      </c>
      <c r="AL964" t="s">
        <v>290</v>
      </c>
    </row>
    <row r="965" spans="1:39">
      <c r="A965" s="146">
        <v>46224.250185185185</v>
      </c>
      <c r="B965" s="146">
        <v>46223</v>
      </c>
      <c r="C965">
        <v>2021742</v>
      </c>
      <c r="D965" t="s">
        <v>391</v>
      </c>
      <c r="E965" t="s">
        <v>653</v>
      </c>
      <c r="F965" t="s">
        <v>650</v>
      </c>
      <c r="G965" t="s">
        <v>258</v>
      </c>
      <c r="H965" t="s">
        <v>641</v>
      </c>
      <c r="I965" t="s">
        <v>96</v>
      </c>
      <c r="K965" s="141">
        <v>0</v>
      </c>
      <c r="O965" t="s">
        <v>1815</v>
      </c>
      <c r="P965">
        <v>0</v>
      </c>
      <c r="Q965" t="s">
        <v>1815</v>
      </c>
      <c r="U965">
        <v>50</v>
      </c>
      <c r="W965" t="s">
        <v>958</v>
      </c>
      <c r="X965" t="s">
        <v>883</v>
      </c>
      <c r="Y965" t="s">
        <v>1820</v>
      </c>
      <c r="AA965" t="s">
        <v>647</v>
      </c>
      <c r="AB965">
        <v>0</v>
      </c>
      <c r="AK965" t="s">
        <v>642</v>
      </c>
      <c r="AL965" t="s">
        <v>290</v>
      </c>
    </row>
    <row r="966" spans="1:39">
      <c r="A966" s="146">
        <v>46224.516203703701</v>
      </c>
      <c r="B966" s="146">
        <v>46224</v>
      </c>
      <c r="C966">
        <v>2020390</v>
      </c>
      <c r="D966" t="s">
        <v>382</v>
      </c>
      <c r="E966" t="s">
        <v>659</v>
      </c>
      <c r="F966" t="s">
        <v>654</v>
      </c>
      <c r="G966" t="s">
        <v>228</v>
      </c>
      <c r="H966" t="s">
        <v>641</v>
      </c>
      <c r="I966" t="s">
        <v>88</v>
      </c>
      <c r="J966">
        <v>8610</v>
      </c>
      <c r="K966" s="141">
        <v>444.27600000000001</v>
      </c>
      <c r="L966">
        <v>0</v>
      </c>
      <c r="M966">
        <v>0</v>
      </c>
      <c r="N966">
        <v>444.27600000000001</v>
      </c>
      <c r="O966" t="s">
        <v>1823</v>
      </c>
      <c r="P966">
        <v>0</v>
      </c>
      <c r="Q966" t="s">
        <v>1823</v>
      </c>
      <c r="R966" t="s">
        <v>1824</v>
      </c>
      <c r="S966">
        <v>0</v>
      </c>
      <c r="T966">
        <v>7</v>
      </c>
      <c r="U966">
        <v>21</v>
      </c>
      <c r="V966">
        <v>0.97619047619047616</v>
      </c>
      <c r="W966" t="s">
        <v>958</v>
      </c>
      <c r="X966" t="s">
        <v>883</v>
      </c>
      <c r="Y966" t="s">
        <v>1826</v>
      </c>
      <c r="AA966" t="s">
        <v>419</v>
      </c>
      <c r="AB966">
        <v>47</v>
      </c>
      <c r="AC966" t="s">
        <v>1821</v>
      </c>
      <c r="AJ966">
        <v>8610</v>
      </c>
      <c r="AK966" t="s">
        <v>642</v>
      </c>
      <c r="AL966" t="s">
        <v>59</v>
      </c>
      <c r="AM966">
        <v>2</v>
      </c>
    </row>
    <row r="967" spans="1:39">
      <c r="A967" s="146">
        <v>46224.519791666666</v>
      </c>
      <c r="B967" s="146">
        <v>46224</v>
      </c>
      <c r="C967">
        <v>2241656</v>
      </c>
      <c r="D967" t="s">
        <v>409</v>
      </c>
      <c r="E967" t="s">
        <v>659</v>
      </c>
      <c r="F967" t="s">
        <v>654</v>
      </c>
      <c r="G967" t="s">
        <v>268</v>
      </c>
      <c r="H967" t="s">
        <v>641</v>
      </c>
      <c r="I967" t="s">
        <v>95</v>
      </c>
      <c r="J967">
        <v>615</v>
      </c>
      <c r="K967" s="141">
        <v>27.736499999999999</v>
      </c>
      <c r="L967">
        <v>0</v>
      </c>
      <c r="M967">
        <v>0</v>
      </c>
      <c r="N967">
        <v>27.736499999999999</v>
      </c>
      <c r="O967" t="s">
        <v>1823</v>
      </c>
      <c r="P967">
        <v>0</v>
      </c>
      <c r="Q967" t="s">
        <v>1823</v>
      </c>
      <c r="S967">
        <v>0</v>
      </c>
      <c r="T967">
        <v>0.5</v>
      </c>
      <c r="U967">
        <v>27</v>
      </c>
      <c r="V967">
        <v>0.7592592592592593</v>
      </c>
      <c r="W967" t="s">
        <v>958</v>
      </c>
      <c r="X967" t="s">
        <v>883</v>
      </c>
      <c r="Y967" t="s">
        <v>1827</v>
      </c>
      <c r="AA967" t="s">
        <v>419</v>
      </c>
      <c r="AB967">
        <v>47</v>
      </c>
      <c r="AI967">
        <v>1</v>
      </c>
      <c r="AJ967">
        <v>615</v>
      </c>
      <c r="AK967" t="s">
        <v>642</v>
      </c>
      <c r="AL967" t="s">
        <v>59</v>
      </c>
      <c r="AM967">
        <v>2</v>
      </c>
    </row>
    <row r="968" spans="1:39">
      <c r="A968" s="146">
        <v>46224.519791666666</v>
      </c>
      <c r="B968" s="146">
        <v>46224</v>
      </c>
      <c r="C968">
        <v>2241656</v>
      </c>
      <c r="D968" t="s">
        <v>409</v>
      </c>
      <c r="E968" t="s">
        <v>659</v>
      </c>
      <c r="F968" t="s">
        <v>654</v>
      </c>
      <c r="G968" t="s">
        <v>258</v>
      </c>
      <c r="H968" t="s">
        <v>641</v>
      </c>
      <c r="I968" t="s">
        <v>96</v>
      </c>
      <c r="J968">
        <v>4530</v>
      </c>
      <c r="K968" s="141">
        <v>0</v>
      </c>
      <c r="O968" t="s">
        <v>1823</v>
      </c>
      <c r="P968">
        <v>0</v>
      </c>
      <c r="Q968" t="s">
        <v>1823</v>
      </c>
      <c r="U968">
        <v>27</v>
      </c>
      <c r="W968" t="s">
        <v>958</v>
      </c>
      <c r="X968" t="s">
        <v>883</v>
      </c>
      <c r="Y968" t="s">
        <v>1827</v>
      </c>
      <c r="AA968" t="s">
        <v>419</v>
      </c>
      <c r="AB968">
        <v>47</v>
      </c>
      <c r="AK968" t="s">
        <v>642</v>
      </c>
      <c r="AL968" t="s">
        <v>59</v>
      </c>
    </row>
    <row r="969" spans="1:39">
      <c r="A969" s="146">
        <v>46224.522407407407</v>
      </c>
      <c r="B969" s="146">
        <v>46224</v>
      </c>
      <c r="C969">
        <v>2241656</v>
      </c>
      <c r="D969" t="s">
        <v>409</v>
      </c>
      <c r="E969" t="s">
        <v>659</v>
      </c>
      <c r="F969" t="s">
        <v>650</v>
      </c>
      <c r="G969" t="s">
        <v>258</v>
      </c>
      <c r="H969" t="s">
        <v>641</v>
      </c>
      <c r="I969" t="s">
        <v>96</v>
      </c>
      <c r="K969" s="141">
        <v>0</v>
      </c>
      <c r="O969" t="s">
        <v>1052</v>
      </c>
      <c r="P969">
        <v>0</v>
      </c>
      <c r="Q969" t="s">
        <v>1052</v>
      </c>
      <c r="U969">
        <v>50</v>
      </c>
      <c r="W969" t="s">
        <v>958</v>
      </c>
      <c r="X969" t="s">
        <v>883</v>
      </c>
      <c r="Y969" t="s">
        <v>1828</v>
      </c>
      <c r="AA969" t="s">
        <v>647</v>
      </c>
      <c r="AB969">
        <v>47</v>
      </c>
      <c r="AK969" t="s">
        <v>642</v>
      </c>
      <c r="AL969" t="s">
        <v>290</v>
      </c>
    </row>
    <row r="970" spans="1:39">
      <c r="A970" s="146">
        <v>46224.525416666664</v>
      </c>
      <c r="B970" s="146">
        <v>46224</v>
      </c>
      <c r="C970">
        <v>2222332</v>
      </c>
      <c r="D970" t="s">
        <v>406</v>
      </c>
      <c r="E970" t="s">
        <v>659</v>
      </c>
      <c r="F970" t="s">
        <v>654</v>
      </c>
      <c r="G970" t="s">
        <v>1285</v>
      </c>
      <c r="H970" t="s">
        <v>641</v>
      </c>
      <c r="I970" t="s">
        <v>99</v>
      </c>
      <c r="J970">
        <v>660</v>
      </c>
      <c r="K970" s="141">
        <v>92.003999999999991</v>
      </c>
      <c r="L970">
        <v>0</v>
      </c>
      <c r="M970">
        <v>0</v>
      </c>
      <c r="N970">
        <v>92.003999999999991</v>
      </c>
      <c r="O970" t="s">
        <v>1052</v>
      </c>
      <c r="P970">
        <v>0</v>
      </c>
      <c r="Q970" t="s">
        <v>1052</v>
      </c>
      <c r="S970">
        <v>0</v>
      </c>
      <c r="T970">
        <v>1.1000000000000001</v>
      </c>
      <c r="U970">
        <v>10</v>
      </c>
      <c r="V970">
        <v>1</v>
      </c>
      <c r="W970" t="s">
        <v>958</v>
      </c>
      <c r="X970" t="s">
        <v>883</v>
      </c>
      <c r="Y970" t="s">
        <v>1829</v>
      </c>
      <c r="AA970" t="s">
        <v>647</v>
      </c>
      <c r="AB970">
        <v>47</v>
      </c>
      <c r="AG970">
        <v>2</v>
      </c>
      <c r="AH970">
        <v>660</v>
      </c>
      <c r="AK970" t="s">
        <v>642</v>
      </c>
      <c r="AL970" t="s">
        <v>290</v>
      </c>
      <c r="AM970">
        <v>2</v>
      </c>
    </row>
    <row r="971" spans="1:39">
      <c r="A971" s="146">
        <v>46224.525416666664</v>
      </c>
      <c r="B971" s="146">
        <v>46224</v>
      </c>
      <c r="C971">
        <v>2222332</v>
      </c>
      <c r="D971" t="s">
        <v>406</v>
      </c>
      <c r="E971" t="s">
        <v>659</v>
      </c>
      <c r="F971" t="s">
        <v>650</v>
      </c>
      <c r="G971" t="s">
        <v>1285</v>
      </c>
      <c r="H971" t="s">
        <v>641</v>
      </c>
      <c r="I971" t="s">
        <v>99</v>
      </c>
      <c r="K971" s="141">
        <v>0</v>
      </c>
      <c r="O971" t="s">
        <v>1052</v>
      </c>
      <c r="P971">
        <v>0</v>
      </c>
      <c r="Q971" t="s">
        <v>1052</v>
      </c>
      <c r="U971">
        <v>10</v>
      </c>
      <c r="W971" t="s">
        <v>958</v>
      </c>
      <c r="X971" t="s">
        <v>883</v>
      </c>
      <c r="Y971" t="s">
        <v>1829</v>
      </c>
      <c r="AA971" t="s">
        <v>647</v>
      </c>
      <c r="AB971">
        <v>47</v>
      </c>
      <c r="AK971" t="s">
        <v>642</v>
      </c>
      <c r="AL971" t="s">
        <v>290</v>
      </c>
    </row>
    <row r="972" spans="1:39">
      <c r="A972" s="146">
        <v>46224.555069444446</v>
      </c>
      <c r="B972" s="146">
        <v>46224</v>
      </c>
      <c r="C972">
        <v>2223535</v>
      </c>
      <c r="D972" t="s">
        <v>400</v>
      </c>
      <c r="E972" t="s">
        <v>659</v>
      </c>
      <c r="F972" t="s">
        <v>650</v>
      </c>
      <c r="G972" t="s">
        <v>425</v>
      </c>
      <c r="H972" t="s">
        <v>641</v>
      </c>
      <c r="I972" t="s">
        <v>86</v>
      </c>
      <c r="J972">
        <v>5410</v>
      </c>
      <c r="K972" s="141">
        <v>29.754999999999999</v>
      </c>
      <c r="O972" t="s">
        <v>1052</v>
      </c>
      <c r="P972">
        <v>0</v>
      </c>
      <c r="Q972" t="s">
        <v>1052</v>
      </c>
      <c r="R972" t="s">
        <v>1830</v>
      </c>
      <c r="U972">
        <v>60</v>
      </c>
      <c r="W972" t="s">
        <v>958</v>
      </c>
      <c r="X972" t="s">
        <v>883</v>
      </c>
      <c r="Y972" t="s">
        <v>1831</v>
      </c>
      <c r="AA972" t="s">
        <v>647</v>
      </c>
      <c r="AB972">
        <v>47</v>
      </c>
      <c r="AK972" t="s">
        <v>642</v>
      </c>
      <c r="AL972" t="s">
        <v>290</v>
      </c>
    </row>
    <row r="973" spans="1:39">
      <c r="A973" s="146">
        <v>46224.561620370368</v>
      </c>
      <c r="B973" s="146">
        <v>46224</v>
      </c>
      <c r="C973">
        <v>2021645</v>
      </c>
      <c r="D973" t="s">
        <v>629</v>
      </c>
      <c r="E973" t="s">
        <v>659</v>
      </c>
      <c r="F973" t="s">
        <v>650</v>
      </c>
      <c r="G973" t="s">
        <v>230</v>
      </c>
      <c r="H973" t="s">
        <v>641</v>
      </c>
      <c r="I973" t="s">
        <v>87</v>
      </c>
      <c r="J973">
        <v>6420</v>
      </c>
      <c r="K973" s="141">
        <v>55.853999999999999</v>
      </c>
      <c r="O973" t="s">
        <v>1052</v>
      </c>
      <c r="P973">
        <v>0</v>
      </c>
      <c r="Q973" t="s">
        <v>1052</v>
      </c>
      <c r="U973">
        <v>70</v>
      </c>
      <c r="W973" t="s">
        <v>958</v>
      </c>
      <c r="X973" t="s">
        <v>883</v>
      </c>
      <c r="Y973" t="s">
        <v>1833</v>
      </c>
      <c r="AA973" t="s">
        <v>647</v>
      </c>
      <c r="AB973">
        <v>47</v>
      </c>
      <c r="AC973" t="s">
        <v>1832</v>
      </c>
      <c r="AK973" t="s">
        <v>642</v>
      </c>
      <c r="AL973" t="s">
        <v>290</v>
      </c>
    </row>
    <row r="974" spans="1:39">
      <c r="A974" s="146">
        <v>46224.562800925924</v>
      </c>
      <c r="B974" s="146">
        <v>46224</v>
      </c>
      <c r="C974">
        <v>2021645</v>
      </c>
      <c r="D974" t="s">
        <v>629</v>
      </c>
      <c r="E974" t="s">
        <v>659</v>
      </c>
      <c r="F974" t="s">
        <v>650</v>
      </c>
      <c r="G974" t="s">
        <v>223</v>
      </c>
      <c r="H974" t="s">
        <v>641</v>
      </c>
      <c r="I974" t="s">
        <v>94</v>
      </c>
      <c r="J974">
        <v>2330</v>
      </c>
      <c r="K974" s="141">
        <v>81.317000000000007</v>
      </c>
      <c r="O974" t="s">
        <v>1823</v>
      </c>
      <c r="P974">
        <v>0</v>
      </c>
      <c r="Q974" t="s">
        <v>1823</v>
      </c>
      <c r="U974">
        <v>42</v>
      </c>
      <c r="W974" t="s">
        <v>958</v>
      </c>
      <c r="X974" t="s">
        <v>883</v>
      </c>
      <c r="Y974" t="s">
        <v>1834</v>
      </c>
      <c r="AA974" t="s">
        <v>419</v>
      </c>
      <c r="AB974">
        <v>47</v>
      </c>
      <c r="AC974" t="s">
        <v>1832</v>
      </c>
      <c r="AK974" t="s">
        <v>642</v>
      </c>
      <c r="AL974" t="s">
        <v>290</v>
      </c>
    </row>
    <row r="975" spans="1:39">
      <c r="A975" s="146">
        <v>46224.562800925924</v>
      </c>
      <c r="B975" s="146">
        <v>46224</v>
      </c>
      <c r="C975">
        <v>2021131</v>
      </c>
      <c r="D975" t="s">
        <v>387</v>
      </c>
      <c r="E975" t="s">
        <v>659</v>
      </c>
      <c r="F975" t="s">
        <v>650</v>
      </c>
      <c r="G975" t="s">
        <v>673</v>
      </c>
      <c r="H975" t="s">
        <v>641</v>
      </c>
      <c r="I975" t="s">
        <v>90</v>
      </c>
      <c r="J975">
        <v>1510</v>
      </c>
      <c r="K975" s="141">
        <v>50</v>
      </c>
      <c r="O975" t="s">
        <v>1823</v>
      </c>
      <c r="P975">
        <v>0</v>
      </c>
      <c r="Q975" t="s">
        <v>1823</v>
      </c>
      <c r="U975">
        <v>42</v>
      </c>
      <c r="W975" t="s">
        <v>958</v>
      </c>
      <c r="X975" t="s">
        <v>883</v>
      </c>
      <c r="Y975" t="s">
        <v>1834</v>
      </c>
      <c r="AA975" t="s">
        <v>419</v>
      </c>
      <c r="AB975">
        <v>47</v>
      </c>
      <c r="AC975" t="s">
        <v>1832</v>
      </c>
      <c r="AK975" t="s">
        <v>642</v>
      </c>
      <c r="AL975" t="s">
        <v>290</v>
      </c>
    </row>
    <row r="976" spans="1:39">
      <c r="A976" s="146">
        <v>46224.562800925924</v>
      </c>
      <c r="B976" s="146">
        <v>46224</v>
      </c>
      <c r="C976">
        <v>2021131</v>
      </c>
      <c r="D976" t="s">
        <v>387</v>
      </c>
      <c r="E976" t="s">
        <v>659</v>
      </c>
      <c r="F976" t="s">
        <v>1417</v>
      </c>
      <c r="G976" t="s">
        <v>268</v>
      </c>
      <c r="H976" t="s">
        <v>641</v>
      </c>
      <c r="I976" t="s">
        <v>93</v>
      </c>
      <c r="J976">
        <v>1230</v>
      </c>
      <c r="K976" s="141">
        <v>60</v>
      </c>
      <c r="O976" t="s">
        <v>1823</v>
      </c>
      <c r="P976">
        <v>0</v>
      </c>
      <c r="Q976" t="s">
        <v>1823</v>
      </c>
      <c r="U976">
        <v>42</v>
      </c>
      <c r="W976" t="s">
        <v>958</v>
      </c>
      <c r="X976" t="s">
        <v>883</v>
      </c>
      <c r="Y976" t="s">
        <v>1834</v>
      </c>
      <c r="AA976" t="s">
        <v>419</v>
      </c>
      <c r="AB976">
        <v>47</v>
      </c>
      <c r="AC976" t="s">
        <v>1832</v>
      </c>
      <c r="AK976" t="s">
        <v>642</v>
      </c>
      <c r="AL976" t="s">
        <v>290</v>
      </c>
    </row>
    <row r="977" spans="1:39">
      <c r="A977" s="146">
        <v>46224.651712962965</v>
      </c>
      <c r="B977" s="146">
        <v>46224</v>
      </c>
      <c r="C977">
        <v>2114273</v>
      </c>
      <c r="D977" t="s">
        <v>106</v>
      </c>
      <c r="E977" t="s">
        <v>659</v>
      </c>
      <c r="F977" t="s">
        <v>654</v>
      </c>
      <c r="H977" t="s">
        <v>641</v>
      </c>
      <c r="I977" t="s">
        <v>80</v>
      </c>
      <c r="J977">
        <v>0</v>
      </c>
      <c r="L977">
        <v>0</v>
      </c>
      <c r="M977">
        <v>0</v>
      </c>
      <c r="N977">
        <v>0</v>
      </c>
      <c r="O977" t="s">
        <v>1052</v>
      </c>
      <c r="P977">
        <v>0</v>
      </c>
      <c r="Q977" t="s">
        <v>1052</v>
      </c>
      <c r="S977">
        <v>0</v>
      </c>
      <c r="T977">
        <v>0.9</v>
      </c>
      <c r="W977" t="s">
        <v>958</v>
      </c>
      <c r="X977" t="s">
        <v>883</v>
      </c>
      <c r="Y977" t="s">
        <v>1835</v>
      </c>
      <c r="AA977" t="s">
        <v>419</v>
      </c>
      <c r="AB977">
        <v>47</v>
      </c>
      <c r="AC977" t="s">
        <v>1832</v>
      </c>
      <c r="AK977" t="s">
        <v>642</v>
      </c>
      <c r="AM977">
        <v>1</v>
      </c>
    </row>
    <row r="978" spans="1:39">
      <c r="A978" s="146">
        <v>46224.651712962965</v>
      </c>
      <c r="B978" s="146">
        <v>46224</v>
      </c>
      <c r="C978">
        <v>2114273</v>
      </c>
      <c r="D978" t="s">
        <v>106</v>
      </c>
      <c r="E978" t="s">
        <v>659</v>
      </c>
      <c r="F978" t="s">
        <v>650</v>
      </c>
      <c r="H978" t="s">
        <v>641</v>
      </c>
      <c r="I978" t="s">
        <v>80</v>
      </c>
      <c r="O978" t="s">
        <v>1052</v>
      </c>
      <c r="P978">
        <v>0</v>
      </c>
      <c r="Q978" t="s">
        <v>1052</v>
      </c>
      <c r="W978" t="s">
        <v>958</v>
      </c>
      <c r="X978" t="s">
        <v>883</v>
      </c>
      <c r="Y978" t="s">
        <v>1835</v>
      </c>
      <c r="AA978" t="s">
        <v>419</v>
      </c>
      <c r="AB978">
        <v>47</v>
      </c>
      <c r="AC978" t="s">
        <v>1832</v>
      </c>
      <c r="AK978" t="s">
        <v>642</v>
      </c>
    </row>
  </sheetData>
  <autoFilter ref="A2:AN965" xr:uid="{359D48C2-420B-4BD8-A114-08A7491D41B3}"/>
  <mergeCells count="1">
    <mergeCell ref="A1:R1"/>
  </mergeCells>
  <phoneticPr fontId="42" type="noConversion"/>
  <pageMargins left="0.7" right="0.7" top="0.75" bottom="0.75" header="0.3" footer="0.3"/>
  <pageSetup scale="28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590E5-6F78-402B-BC57-52B625F7EFE1}">
  <sheetPr codeName="Sheet4">
    <tabColor theme="7"/>
  </sheetPr>
  <dimension ref="A1:P1738"/>
  <sheetViews>
    <sheetView zoomScale="85" zoomScaleNormal="85" workbookViewId="0">
      <selection activeCell="A6" sqref="A6:I6"/>
    </sheetView>
  </sheetViews>
  <sheetFormatPr defaultRowHeight="15"/>
  <cols>
    <col min="1" max="1" width="17.140625" customWidth="1"/>
    <col min="2" max="2" width="15.7109375" customWidth="1"/>
    <col min="3" max="3" width="20" customWidth="1"/>
    <col min="4" max="4" width="25.28515625" customWidth="1"/>
    <col min="6" max="6" width="24.28515625" customWidth="1"/>
    <col min="7" max="7" width="28.7109375" customWidth="1"/>
    <col min="8" max="8" width="12.7109375" customWidth="1"/>
    <col min="9" max="9" width="20" customWidth="1"/>
    <col min="10" max="16" width="12.28515625" bestFit="1" customWidth="1"/>
  </cols>
  <sheetData>
    <row r="1" spans="1:16" ht="26.25">
      <c r="A1" s="414" t="s">
        <v>465</v>
      </c>
      <c r="B1" s="414"/>
      <c r="C1" s="414"/>
      <c r="D1" s="414"/>
      <c r="E1" s="414"/>
      <c r="F1" s="414"/>
      <c r="G1" s="414"/>
      <c r="H1" s="414"/>
      <c r="I1" s="414"/>
      <c r="J1" s="414"/>
      <c r="K1" s="414"/>
      <c r="L1" s="414"/>
      <c r="M1" s="414"/>
      <c r="N1" s="414"/>
      <c r="O1" s="414"/>
      <c r="P1" s="414"/>
    </row>
    <row r="2" spans="1:16" ht="15.75" thickBot="1"/>
    <row r="3" spans="1:16" ht="15.75">
      <c r="A3" s="5" t="s">
        <v>119</v>
      </c>
      <c r="B3" s="6" t="s">
        <v>120</v>
      </c>
      <c r="C3" s="7" t="s">
        <v>121</v>
      </c>
      <c r="D3" s="7" t="s">
        <v>122</v>
      </c>
      <c r="E3" s="7" t="s">
        <v>123</v>
      </c>
      <c r="F3" s="6" t="s">
        <v>124</v>
      </c>
      <c r="G3" s="8" t="s">
        <v>125</v>
      </c>
      <c r="H3" s="8" t="s">
        <v>126</v>
      </c>
      <c r="I3" s="8" t="s">
        <v>127</v>
      </c>
      <c r="J3" s="8" t="s">
        <v>285</v>
      </c>
      <c r="K3" s="8" t="s">
        <v>24</v>
      </c>
      <c r="L3" s="8" t="s">
        <v>16</v>
      </c>
      <c r="M3" s="8" t="s">
        <v>286</v>
      </c>
      <c r="N3" s="8" t="s">
        <v>30</v>
      </c>
      <c r="O3" s="8" t="s">
        <v>31</v>
      </c>
      <c r="P3" s="8" t="s">
        <v>143</v>
      </c>
    </row>
    <row r="4" spans="1:16" ht="15.75">
      <c r="A4" s="12" t="s">
        <v>154</v>
      </c>
      <c r="B4" s="13" t="s">
        <v>155</v>
      </c>
      <c r="C4" s="14" t="s">
        <v>156</v>
      </c>
      <c r="D4" s="14" t="s">
        <v>157</v>
      </c>
      <c r="E4" s="14" t="s">
        <v>158</v>
      </c>
      <c r="F4" s="13" t="s">
        <v>159</v>
      </c>
      <c r="G4" s="14" t="s">
        <v>160</v>
      </c>
      <c r="H4" s="14" t="s">
        <v>161</v>
      </c>
      <c r="I4" s="14" t="s">
        <v>162</v>
      </c>
      <c r="J4" s="14"/>
      <c r="K4" s="14"/>
      <c r="L4" s="14"/>
      <c r="M4" s="14"/>
      <c r="N4" s="14"/>
      <c r="O4" s="14"/>
      <c r="P4" s="14"/>
    </row>
    <row r="5" spans="1:16">
      <c r="A5" s="19" t="s">
        <v>179</v>
      </c>
      <c r="B5" s="20" t="s">
        <v>180</v>
      </c>
      <c r="C5" s="21" t="s">
        <v>181</v>
      </c>
      <c r="D5" s="21" t="s">
        <v>182</v>
      </c>
      <c r="E5" s="21" t="s">
        <v>183</v>
      </c>
      <c r="F5" s="20" t="s">
        <v>184</v>
      </c>
      <c r="G5" s="21" t="s">
        <v>185</v>
      </c>
      <c r="H5" s="21" t="s">
        <v>186</v>
      </c>
      <c r="I5" s="21" t="s">
        <v>187</v>
      </c>
      <c r="J5" s="21"/>
      <c r="K5" s="21"/>
      <c r="L5" s="21"/>
      <c r="M5" s="21"/>
      <c r="N5" s="21"/>
      <c r="O5" s="21"/>
      <c r="P5" s="21"/>
    </row>
    <row r="6" spans="1:16">
      <c r="A6" s="29">
        <v>46209.785682870373</v>
      </c>
      <c r="B6" s="30">
        <v>46209</v>
      </c>
      <c r="C6">
        <v>2325374</v>
      </c>
      <c r="D6" t="s">
        <v>415</v>
      </c>
      <c r="E6" t="s">
        <v>643</v>
      </c>
      <c r="F6" t="s">
        <v>655</v>
      </c>
      <c r="G6" t="s">
        <v>673</v>
      </c>
      <c r="H6" t="s">
        <v>641</v>
      </c>
      <c r="I6" t="s">
        <v>96</v>
      </c>
      <c r="J6">
        <v>300</v>
      </c>
      <c r="K6">
        <v>1</v>
      </c>
      <c r="L6">
        <v>0.5</v>
      </c>
      <c r="P6" t="s">
        <v>1321</v>
      </c>
    </row>
    <row r="7" spans="1:16">
      <c r="A7" s="29">
        <v>46209.785682870373</v>
      </c>
      <c r="B7" s="30">
        <v>46209</v>
      </c>
      <c r="C7">
        <v>2325374</v>
      </c>
      <c r="D7" t="s">
        <v>415</v>
      </c>
      <c r="E7" t="s">
        <v>643</v>
      </c>
      <c r="F7" t="s">
        <v>655</v>
      </c>
      <c r="G7" t="s">
        <v>673</v>
      </c>
      <c r="H7" t="s">
        <v>641</v>
      </c>
      <c r="I7" t="s">
        <v>96</v>
      </c>
      <c r="J7" t="s">
        <v>445</v>
      </c>
      <c r="K7">
        <v>1</v>
      </c>
      <c r="L7">
        <v>0.5</v>
      </c>
      <c r="M7">
        <v>1</v>
      </c>
      <c r="P7" t="s">
        <v>1321</v>
      </c>
    </row>
    <row r="8" spans="1:16">
      <c r="A8" s="29">
        <v>46209.785682870373</v>
      </c>
      <c r="B8" s="30">
        <v>46209</v>
      </c>
      <c r="C8">
        <v>2325374</v>
      </c>
      <c r="D8" t="s">
        <v>415</v>
      </c>
      <c r="E8" t="s">
        <v>643</v>
      </c>
      <c r="F8" t="s">
        <v>655</v>
      </c>
      <c r="G8" t="s">
        <v>673</v>
      </c>
      <c r="H8" t="s">
        <v>641</v>
      </c>
      <c r="I8" t="s">
        <v>96</v>
      </c>
      <c r="J8" t="s">
        <v>38</v>
      </c>
      <c r="K8">
        <v>1</v>
      </c>
      <c r="L8">
        <v>0.5</v>
      </c>
      <c r="M8">
        <v>1</v>
      </c>
      <c r="N8">
        <v>1</v>
      </c>
      <c r="P8" t="s">
        <v>1321</v>
      </c>
    </row>
    <row r="9" spans="1:16">
      <c r="A9" s="29">
        <v>46209.785682870373</v>
      </c>
      <c r="B9" s="30">
        <v>46209</v>
      </c>
      <c r="C9">
        <v>2325374</v>
      </c>
      <c r="D9" t="s">
        <v>415</v>
      </c>
      <c r="E9" t="s">
        <v>643</v>
      </c>
      <c r="F9" t="s">
        <v>655</v>
      </c>
      <c r="G9" t="s">
        <v>673</v>
      </c>
      <c r="H9" t="s">
        <v>641</v>
      </c>
      <c r="I9" t="s">
        <v>96</v>
      </c>
      <c r="J9">
        <v>308</v>
      </c>
      <c r="K9">
        <v>3</v>
      </c>
      <c r="L9">
        <v>1.3333333333333333</v>
      </c>
      <c r="P9" t="s">
        <v>1321</v>
      </c>
    </row>
    <row r="10" spans="1:16">
      <c r="A10" s="29">
        <v>46209.785682870373</v>
      </c>
      <c r="B10" s="30">
        <v>46209</v>
      </c>
      <c r="C10">
        <v>2325374</v>
      </c>
      <c r="D10" t="s">
        <v>415</v>
      </c>
      <c r="E10" t="s">
        <v>643</v>
      </c>
      <c r="F10" t="s">
        <v>655</v>
      </c>
      <c r="G10" t="s">
        <v>673</v>
      </c>
      <c r="H10" t="s">
        <v>641</v>
      </c>
      <c r="I10" t="s">
        <v>96</v>
      </c>
      <c r="J10" t="s">
        <v>456</v>
      </c>
      <c r="K10">
        <v>3</v>
      </c>
      <c r="L10">
        <v>1.3333333333333333</v>
      </c>
      <c r="M10">
        <v>1</v>
      </c>
      <c r="N10">
        <v>1</v>
      </c>
      <c r="P10" t="s">
        <v>1321</v>
      </c>
    </row>
    <row r="11" spans="1:16">
      <c r="A11" s="29">
        <v>46209.873090277775</v>
      </c>
      <c r="B11" s="30">
        <v>46209</v>
      </c>
      <c r="C11">
        <v>2222785</v>
      </c>
      <c r="D11" t="s">
        <v>399</v>
      </c>
      <c r="E11" t="s">
        <v>643</v>
      </c>
      <c r="F11" t="s">
        <v>655</v>
      </c>
      <c r="G11" t="s">
        <v>250</v>
      </c>
      <c r="H11" t="s">
        <v>641</v>
      </c>
      <c r="I11" t="s">
        <v>99</v>
      </c>
      <c r="J11">
        <v>300</v>
      </c>
      <c r="K11">
        <v>0</v>
      </c>
      <c r="L11">
        <v>0</v>
      </c>
      <c r="P11" t="s">
        <v>1324</v>
      </c>
    </row>
    <row r="12" spans="1:16">
      <c r="A12" s="29">
        <v>46209.873090277775</v>
      </c>
      <c r="B12" s="30">
        <v>46209</v>
      </c>
      <c r="C12">
        <v>2222785</v>
      </c>
      <c r="D12" t="s">
        <v>399</v>
      </c>
      <c r="E12" t="s">
        <v>643</v>
      </c>
      <c r="F12" t="s">
        <v>655</v>
      </c>
      <c r="G12" t="s">
        <v>250</v>
      </c>
      <c r="H12" t="s">
        <v>641</v>
      </c>
      <c r="I12" t="s">
        <v>99</v>
      </c>
      <c r="J12">
        <v>308</v>
      </c>
      <c r="K12">
        <v>0</v>
      </c>
      <c r="L12">
        <v>0</v>
      </c>
      <c r="P12" t="s">
        <v>1324</v>
      </c>
    </row>
    <row r="13" spans="1:16">
      <c r="A13" s="29">
        <v>46210.890104166669</v>
      </c>
      <c r="B13" s="30">
        <v>46210</v>
      </c>
      <c r="C13">
        <v>2222785</v>
      </c>
      <c r="D13" t="s">
        <v>399</v>
      </c>
      <c r="E13" t="s">
        <v>643</v>
      </c>
      <c r="F13" t="s">
        <v>655</v>
      </c>
      <c r="G13" t="s">
        <v>222</v>
      </c>
      <c r="H13" t="s">
        <v>641</v>
      </c>
      <c r="I13" t="s">
        <v>98</v>
      </c>
      <c r="J13">
        <v>300</v>
      </c>
      <c r="K13">
        <v>0</v>
      </c>
      <c r="L13">
        <v>0</v>
      </c>
      <c r="P13" t="s">
        <v>1365</v>
      </c>
    </row>
    <row r="14" spans="1:16">
      <c r="A14" s="29">
        <v>46210.890104166669</v>
      </c>
      <c r="B14" s="30">
        <v>46210</v>
      </c>
      <c r="C14">
        <v>2222785</v>
      </c>
      <c r="D14" t="s">
        <v>399</v>
      </c>
      <c r="E14" t="s">
        <v>643</v>
      </c>
      <c r="F14" t="s">
        <v>655</v>
      </c>
      <c r="G14" t="s">
        <v>222</v>
      </c>
      <c r="H14" t="s">
        <v>641</v>
      </c>
      <c r="I14" t="s">
        <v>98</v>
      </c>
      <c r="J14">
        <v>308</v>
      </c>
      <c r="K14">
        <v>0</v>
      </c>
      <c r="L14">
        <v>0</v>
      </c>
      <c r="P14" t="s">
        <v>1365</v>
      </c>
    </row>
    <row r="15" spans="1:16">
      <c r="A15" s="29">
        <v>46211.567037037035</v>
      </c>
      <c r="B15" s="30">
        <v>46211</v>
      </c>
      <c r="C15">
        <v>1921551</v>
      </c>
      <c r="D15" t="s">
        <v>380</v>
      </c>
      <c r="E15" t="s">
        <v>659</v>
      </c>
      <c r="F15" t="s">
        <v>655</v>
      </c>
      <c r="G15" t="s">
        <v>230</v>
      </c>
      <c r="H15" t="s">
        <v>641</v>
      </c>
      <c r="I15" t="s">
        <v>86</v>
      </c>
      <c r="J15">
        <v>300</v>
      </c>
      <c r="K15">
        <v>0</v>
      </c>
      <c r="L15">
        <v>0</v>
      </c>
      <c r="P15" t="s">
        <v>1385</v>
      </c>
    </row>
    <row r="16" spans="1:16">
      <c r="A16" s="29">
        <v>46211.567037037035</v>
      </c>
      <c r="B16" s="30">
        <v>46211</v>
      </c>
      <c r="C16">
        <v>1921551</v>
      </c>
      <c r="D16" t="s">
        <v>380</v>
      </c>
      <c r="E16" t="s">
        <v>659</v>
      </c>
      <c r="F16" t="s">
        <v>655</v>
      </c>
      <c r="G16" t="s">
        <v>230</v>
      </c>
      <c r="H16" t="s">
        <v>641</v>
      </c>
      <c r="I16" t="s">
        <v>86</v>
      </c>
      <c r="J16">
        <v>308</v>
      </c>
      <c r="K16">
        <v>0</v>
      </c>
      <c r="L16">
        <v>0</v>
      </c>
      <c r="P16" t="s">
        <v>1385</v>
      </c>
    </row>
    <row r="17" spans="1:16">
      <c r="A17" s="29">
        <v>46211.891030092593</v>
      </c>
      <c r="B17" s="30">
        <v>46211</v>
      </c>
      <c r="C17">
        <v>2222785</v>
      </c>
      <c r="D17" t="s">
        <v>399</v>
      </c>
      <c r="E17" t="s">
        <v>643</v>
      </c>
      <c r="F17" t="s">
        <v>655</v>
      </c>
      <c r="G17" t="s">
        <v>234</v>
      </c>
      <c r="H17" t="s">
        <v>641</v>
      </c>
      <c r="I17" t="s">
        <v>82</v>
      </c>
      <c r="J17">
        <v>300</v>
      </c>
      <c r="K17">
        <v>0</v>
      </c>
      <c r="L17">
        <v>0</v>
      </c>
      <c r="P17" t="s">
        <v>1403</v>
      </c>
    </row>
    <row r="18" spans="1:16">
      <c r="A18" s="29">
        <v>46211.891030092593</v>
      </c>
      <c r="B18" s="30">
        <v>46211</v>
      </c>
      <c r="C18">
        <v>2222785</v>
      </c>
      <c r="D18" t="s">
        <v>399</v>
      </c>
      <c r="E18" t="s">
        <v>643</v>
      </c>
      <c r="F18" t="s">
        <v>655</v>
      </c>
      <c r="G18" t="s">
        <v>234</v>
      </c>
      <c r="H18" t="s">
        <v>641</v>
      </c>
      <c r="I18" t="s">
        <v>82</v>
      </c>
      <c r="J18">
        <v>308</v>
      </c>
      <c r="K18">
        <v>0</v>
      </c>
      <c r="L18">
        <v>0</v>
      </c>
      <c r="P18" t="s">
        <v>1403</v>
      </c>
    </row>
    <row r="19" spans="1:16">
      <c r="A19" s="29">
        <v>46211.89434027778</v>
      </c>
      <c r="B19" s="30">
        <v>46211</v>
      </c>
      <c r="C19">
        <v>2220255</v>
      </c>
      <c r="D19" t="s">
        <v>396</v>
      </c>
      <c r="E19" t="s">
        <v>643</v>
      </c>
      <c r="F19" t="s">
        <v>655</v>
      </c>
      <c r="G19" t="s">
        <v>673</v>
      </c>
      <c r="H19" t="s">
        <v>641</v>
      </c>
      <c r="I19" t="s">
        <v>90</v>
      </c>
      <c r="J19">
        <v>300</v>
      </c>
      <c r="K19">
        <v>0</v>
      </c>
      <c r="L19">
        <v>0</v>
      </c>
      <c r="P19" t="s">
        <v>1404</v>
      </c>
    </row>
    <row r="20" spans="1:16">
      <c r="A20" s="29">
        <v>46211.89434027778</v>
      </c>
      <c r="B20" s="30">
        <v>46211</v>
      </c>
      <c r="C20">
        <v>2220255</v>
      </c>
      <c r="D20" t="s">
        <v>396</v>
      </c>
      <c r="E20" t="s">
        <v>643</v>
      </c>
      <c r="F20" t="s">
        <v>655</v>
      </c>
      <c r="G20" t="s">
        <v>673</v>
      </c>
      <c r="H20" t="s">
        <v>641</v>
      </c>
      <c r="I20" t="s">
        <v>90</v>
      </c>
      <c r="J20">
        <v>308</v>
      </c>
      <c r="K20">
        <v>1</v>
      </c>
      <c r="L20">
        <v>0.66666666666666663</v>
      </c>
      <c r="P20" t="s">
        <v>1404</v>
      </c>
    </row>
    <row r="21" spans="1:16">
      <c r="A21" s="29">
        <v>46211.89434027778</v>
      </c>
      <c r="B21" s="30">
        <v>46211</v>
      </c>
      <c r="C21">
        <v>2220255</v>
      </c>
      <c r="D21" t="s">
        <v>396</v>
      </c>
      <c r="E21" t="s">
        <v>643</v>
      </c>
      <c r="F21" t="s">
        <v>655</v>
      </c>
      <c r="G21" t="s">
        <v>673</v>
      </c>
      <c r="H21" t="s">
        <v>641</v>
      </c>
      <c r="I21" t="s">
        <v>90</v>
      </c>
      <c r="J21" t="s">
        <v>456</v>
      </c>
      <c r="K21">
        <v>1</v>
      </c>
      <c r="L21">
        <v>0.66666666666666663</v>
      </c>
      <c r="M21">
        <v>1</v>
      </c>
      <c r="N21">
        <v>1</v>
      </c>
      <c r="P21" t="s">
        <v>1404</v>
      </c>
    </row>
    <row r="22" spans="1:16">
      <c r="A22" s="29">
        <v>46212.485358796293</v>
      </c>
      <c r="B22" s="30">
        <v>46212</v>
      </c>
      <c r="C22">
        <v>1921551</v>
      </c>
      <c r="D22" t="s">
        <v>380</v>
      </c>
      <c r="E22" t="s">
        <v>659</v>
      </c>
      <c r="F22" t="s">
        <v>655</v>
      </c>
      <c r="G22" t="s">
        <v>242</v>
      </c>
      <c r="H22" t="s">
        <v>641</v>
      </c>
      <c r="I22" t="s">
        <v>86</v>
      </c>
      <c r="J22">
        <v>300</v>
      </c>
      <c r="K22">
        <v>0</v>
      </c>
      <c r="L22">
        <v>0</v>
      </c>
      <c r="P22" t="s">
        <v>1419</v>
      </c>
    </row>
    <row r="23" spans="1:16">
      <c r="A23" s="29">
        <v>46212.485358796293</v>
      </c>
      <c r="B23" s="30">
        <v>46212</v>
      </c>
      <c r="C23">
        <v>1921551</v>
      </c>
      <c r="D23" t="s">
        <v>380</v>
      </c>
      <c r="E23" t="s">
        <v>659</v>
      </c>
      <c r="F23" t="s">
        <v>655</v>
      </c>
      <c r="G23" t="s">
        <v>242</v>
      </c>
      <c r="H23" t="s">
        <v>641</v>
      </c>
      <c r="I23" t="s">
        <v>86</v>
      </c>
      <c r="J23">
        <v>308</v>
      </c>
      <c r="K23">
        <v>0</v>
      </c>
      <c r="L23">
        <v>0</v>
      </c>
      <c r="P23" t="s">
        <v>1419</v>
      </c>
    </row>
    <row r="24" spans="1:16">
      <c r="A24" s="29">
        <v>46212.901932870373</v>
      </c>
      <c r="B24" s="30">
        <v>46212</v>
      </c>
      <c r="C24">
        <v>2222785</v>
      </c>
      <c r="D24" t="s">
        <v>399</v>
      </c>
      <c r="E24" t="s">
        <v>643</v>
      </c>
      <c r="F24" t="s">
        <v>655</v>
      </c>
      <c r="G24" t="s">
        <v>234</v>
      </c>
      <c r="H24" t="s">
        <v>641</v>
      </c>
      <c r="I24" t="s">
        <v>82</v>
      </c>
      <c r="J24">
        <v>300</v>
      </c>
      <c r="K24">
        <v>0</v>
      </c>
      <c r="L24">
        <v>0</v>
      </c>
      <c r="P24" t="s">
        <v>1449</v>
      </c>
    </row>
    <row r="25" spans="1:16">
      <c r="A25" s="29">
        <v>46212.901932870373</v>
      </c>
      <c r="B25" s="30">
        <v>46212</v>
      </c>
      <c r="C25">
        <v>2222785</v>
      </c>
      <c r="D25" t="s">
        <v>399</v>
      </c>
      <c r="E25" t="s">
        <v>643</v>
      </c>
      <c r="F25" t="s">
        <v>655</v>
      </c>
      <c r="G25" t="s">
        <v>234</v>
      </c>
      <c r="H25" t="s">
        <v>641</v>
      </c>
      <c r="I25" t="s">
        <v>82</v>
      </c>
      <c r="J25">
        <v>308</v>
      </c>
      <c r="K25">
        <v>0</v>
      </c>
      <c r="L25">
        <v>0</v>
      </c>
      <c r="P25" t="s">
        <v>1449</v>
      </c>
    </row>
    <row r="26" spans="1:16">
      <c r="A26" s="29">
        <v>46212.902673611112</v>
      </c>
      <c r="B26" s="30">
        <v>46212</v>
      </c>
      <c r="C26">
        <v>2222785</v>
      </c>
      <c r="D26" t="s">
        <v>399</v>
      </c>
      <c r="E26" t="s">
        <v>643</v>
      </c>
      <c r="F26" t="s">
        <v>655</v>
      </c>
      <c r="G26" t="s">
        <v>240</v>
      </c>
      <c r="H26" t="s">
        <v>641</v>
      </c>
      <c r="I26" t="s">
        <v>99</v>
      </c>
      <c r="J26">
        <v>300</v>
      </c>
      <c r="K26">
        <v>0</v>
      </c>
      <c r="L26">
        <v>0</v>
      </c>
      <c r="P26" t="s">
        <v>1450</v>
      </c>
    </row>
    <row r="27" spans="1:16">
      <c r="A27" s="29">
        <v>46212.902673611112</v>
      </c>
      <c r="B27" s="30">
        <v>46212</v>
      </c>
      <c r="C27">
        <v>2222785</v>
      </c>
      <c r="D27" t="s">
        <v>399</v>
      </c>
      <c r="E27" t="s">
        <v>643</v>
      </c>
      <c r="F27" t="s">
        <v>655</v>
      </c>
      <c r="G27" t="s">
        <v>240</v>
      </c>
      <c r="H27" t="s">
        <v>641</v>
      </c>
      <c r="I27" t="s">
        <v>99</v>
      </c>
      <c r="J27">
        <v>308</v>
      </c>
      <c r="K27">
        <v>0</v>
      </c>
      <c r="L27">
        <v>0</v>
      </c>
      <c r="P27" t="s">
        <v>1450</v>
      </c>
    </row>
    <row r="28" spans="1:16">
      <c r="A28" s="29">
        <v>46213.210960648146</v>
      </c>
      <c r="B28" s="30">
        <v>46212</v>
      </c>
      <c r="C28">
        <v>2222332</v>
      </c>
      <c r="D28" t="s">
        <v>406</v>
      </c>
      <c r="E28" t="s">
        <v>653</v>
      </c>
      <c r="F28" t="s">
        <v>655</v>
      </c>
      <c r="G28" t="s">
        <v>482</v>
      </c>
      <c r="H28" t="s">
        <v>641</v>
      </c>
      <c r="I28" t="s">
        <v>101</v>
      </c>
      <c r="J28">
        <v>300</v>
      </c>
      <c r="K28">
        <v>0</v>
      </c>
      <c r="L28">
        <v>0</v>
      </c>
      <c r="P28" t="s">
        <v>1463</v>
      </c>
    </row>
    <row r="29" spans="1:16">
      <c r="A29" s="29">
        <v>46213.210960648146</v>
      </c>
      <c r="B29" s="30">
        <v>46212</v>
      </c>
      <c r="C29">
        <v>2222332</v>
      </c>
      <c r="D29" t="s">
        <v>406</v>
      </c>
      <c r="E29" t="s">
        <v>653</v>
      </c>
      <c r="F29" t="s">
        <v>655</v>
      </c>
      <c r="G29" t="s">
        <v>482</v>
      </c>
      <c r="H29" t="s">
        <v>641</v>
      </c>
      <c r="I29" t="s">
        <v>101</v>
      </c>
      <c r="J29">
        <v>308</v>
      </c>
      <c r="K29">
        <v>1</v>
      </c>
      <c r="L29">
        <v>0.5</v>
      </c>
      <c r="P29" t="s">
        <v>1463</v>
      </c>
    </row>
    <row r="30" spans="1:16">
      <c r="A30" s="29">
        <v>46213.210960648146</v>
      </c>
      <c r="B30" s="30">
        <v>46212</v>
      </c>
      <c r="C30">
        <v>2222332</v>
      </c>
      <c r="D30" t="s">
        <v>406</v>
      </c>
      <c r="E30" t="s">
        <v>653</v>
      </c>
      <c r="F30" t="s">
        <v>655</v>
      </c>
      <c r="G30" t="s">
        <v>482</v>
      </c>
      <c r="H30" t="s">
        <v>641</v>
      </c>
      <c r="I30" t="s">
        <v>101</v>
      </c>
      <c r="J30" t="s">
        <v>455</v>
      </c>
      <c r="K30">
        <v>1</v>
      </c>
      <c r="L30">
        <v>0.5</v>
      </c>
      <c r="M30">
        <v>1</v>
      </c>
      <c r="N30">
        <v>1</v>
      </c>
      <c r="P30" t="s">
        <v>1463</v>
      </c>
    </row>
    <row r="31" spans="1:16">
      <c r="A31" s="29">
        <v>46213.530648148146</v>
      </c>
      <c r="B31" s="30">
        <v>46212</v>
      </c>
      <c r="C31">
        <v>1921551</v>
      </c>
      <c r="D31" t="s">
        <v>380</v>
      </c>
      <c r="E31" t="s">
        <v>659</v>
      </c>
      <c r="F31" t="s">
        <v>655</v>
      </c>
      <c r="G31" t="s">
        <v>226</v>
      </c>
      <c r="H31" t="s">
        <v>641</v>
      </c>
      <c r="I31" t="s">
        <v>86</v>
      </c>
      <c r="J31">
        <v>300</v>
      </c>
      <c r="K31">
        <v>0</v>
      </c>
      <c r="L31">
        <v>0</v>
      </c>
      <c r="P31" t="s">
        <v>1468</v>
      </c>
    </row>
    <row r="32" spans="1:16">
      <c r="A32" s="29">
        <v>46213.530648148146</v>
      </c>
      <c r="B32" s="30">
        <v>46212</v>
      </c>
      <c r="C32">
        <v>1921551</v>
      </c>
      <c r="D32" t="s">
        <v>380</v>
      </c>
      <c r="E32" t="s">
        <v>659</v>
      </c>
      <c r="F32" t="s">
        <v>655</v>
      </c>
      <c r="G32" t="s">
        <v>226</v>
      </c>
      <c r="H32" t="s">
        <v>641</v>
      </c>
      <c r="I32" t="s">
        <v>86</v>
      </c>
      <c r="J32">
        <v>308</v>
      </c>
      <c r="K32">
        <v>0</v>
      </c>
      <c r="L32">
        <v>0</v>
      </c>
      <c r="P32" t="s">
        <v>1468</v>
      </c>
    </row>
    <row r="33" spans="1:16">
      <c r="A33" s="29">
        <v>46213.549490740741</v>
      </c>
      <c r="B33" s="30">
        <v>46212</v>
      </c>
      <c r="C33">
        <v>2221908</v>
      </c>
      <c r="D33" t="s">
        <v>398</v>
      </c>
      <c r="E33" t="s">
        <v>659</v>
      </c>
      <c r="F33" t="s">
        <v>655</v>
      </c>
      <c r="G33" t="s">
        <v>225</v>
      </c>
      <c r="H33" t="s">
        <v>641</v>
      </c>
      <c r="I33" t="s">
        <v>89</v>
      </c>
      <c r="J33">
        <v>300</v>
      </c>
      <c r="K33">
        <v>0</v>
      </c>
      <c r="L33">
        <v>0</v>
      </c>
      <c r="P33" t="s">
        <v>1470</v>
      </c>
    </row>
    <row r="34" spans="1:16">
      <c r="A34" s="29">
        <v>46213.549490740741</v>
      </c>
      <c r="B34" s="30">
        <v>46212</v>
      </c>
      <c r="C34">
        <v>2221908</v>
      </c>
      <c r="D34" t="s">
        <v>398</v>
      </c>
      <c r="E34" t="s">
        <v>659</v>
      </c>
      <c r="F34" t="s">
        <v>655</v>
      </c>
      <c r="G34" t="s">
        <v>225</v>
      </c>
      <c r="H34" t="s">
        <v>641</v>
      </c>
      <c r="I34" t="s">
        <v>89</v>
      </c>
      <c r="J34">
        <v>308</v>
      </c>
      <c r="K34">
        <v>2</v>
      </c>
      <c r="L34">
        <v>1</v>
      </c>
      <c r="P34" t="s">
        <v>1470</v>
      </c>
    </row>
    <row r="35" spans="1:16">
      <c r="A35" s="29">
        <v>46213.549490740741</v>
      </c>
      <c r="B35" s="30">
        <v>46212</v>
      </c>
      <c r="C35">
        <v>2221908</v>
      </c>
      <c r="D35" t="s">
        <v>398</v>
      </c>
      <c r="E35" t="s">
        <v>659</v>
      </c>
      <c r="F35" t="s">
        <v>655</v>
      </c>
      <c r="G35" t="s">
        <v>225</v>
      </c>
      <c r="H35" t="s">
        <v>641</v>
      </c>
      <c r="I35" t="s">
        <v>89</v>
      </c>
      <c r="J35" t="s">
        <v>455</v>
      </c>
      <c r="K35">
        <v>2</v>
      </c>
      <c r="L35">
        <v>1</v>
      </c>
      <c r="M35">
        <v>1</v>
      </c>
      <c r="N35">
        <v>1</v>
      </c>
      <c r="P35" t="s">
        <v>1470</v>
      </c>
    </row>
    <row r="36" spans="1:16">
      <c r="A36" s="29">
        <v>46213.898078703707</v>
      </c>
      <c r="B36" s="30">
        <v>46212</v>
      </c>
      <c r="C36">
        <v>2222785</v>
      </c>
      <c r="D36" t="s">
        <v>399</v>
      </c>
      <c r="E36" t="s">
        <v>643</v>
      </c>
      <c r="F36" t="s">
        <v>655</v>
      </c>
      <c r="G36" t="s">
        <v>234</v>
      </c>
      <c r="H36" t="s">
        <v>641</v>
      </c>
      <c r="I36" t="s">
        <v>82</v>
      </c>
      <c r="J36">
        <v>300</v>
      </c>
      <c r="K36">
        <v>0</v>
      </c>
      <c r="L36">
        <v>0</v>
      </c>
      <c r="P36" t="s">
        <v>1494</v>
      </c>
    </row>
    <row r="37" spans="1:16">
      <c r="A37" s="29">
        <v>46213.898078703707</v>
      </c>
      <c r="B37" s="30">
        <v>46212</v>
      </c>
      <c r="C37">
        <v>2222785</v>
      </c>
      <c r="D37" t="s">
        <v>399</v>
      </c>
      <c r="E37" t="s">
        <v>643</v>
      </c>
      <c r="F37" t="s">
        <v>655</v>
      </c>
      <c r="G37" t="s">
        <v>234</v>
      </c>
      <c r="H37" t="s">
        <v>641</v>
      </c>
      <c r="I37" t="s">
        <v>82</v>
      </c>
      <c r="J37">
        <v>308</v>
      </c>
      <c r="K37">
        <v>0</v>
      </c>
      <c r="L37">
        <v>0</v>
      </c>
      <c r="P37" t="s">
        <v>1494</v>
      </c>
    </row>
    <row r="38" spans="1:16">
      <c r="A38" s="29">
        <v>46213.898854166669</v>
      </c>
      <c r="B38" s="30">
        <v>46212</v>
      </c>
      <c r="C38">
        <v>2222785</v>
      </c>
      <c r="D38" t="s">
        <v>399</v>
      </c>
      <c r="E38" t="s">
        <v>643</v>
      </c>
      <c r="F38" t="s">
        <v>655</v>
      </c>
      <c r="G38" t="s">
        <v>222</v>
      </c>
      <c r="H38" t="s">
        <v>641</v>
      </c>
      <c r="I38" t="s">
        <v>98</v>
      </c>
      <c r="J38">
        <v>300</v>
      </c>
      <c r="K38">
        <v>0</v>
      </c>
      <c r="L38">
        <v>0</v>
      </c>
      <c r="P38" t="s">
        <v>1495</v>
      </c>
    </row>
    <row r="39" spans="1:16">
      <c r="A39" s="29">
        <v>46213.898854166669</v>
      </c>
      <c r="B39" s="30">
        <v>46212</v>
      </c>
      <c r="C39">
        <v>2222785</v>
      </c>
      <c r="D39" t="s">
        <v>399</v>
      </c>
      <c r="E39" t="s">
        <v>643</v>
      </c>
      <c r="F39" t="s">
        <v>655</v>
      </c>
      <c r="G39" t="s">
        <v>222</v>
      </c>
      <c r="H39" t="s">
        <v>641</v>
      </c>
      <c r="I39" t="s">
        <v>98</v>
      </c>
      <c r="J39">
        <v>308</v>
      </c>
      <c r="K39">
        <v>0</v>
      </c>
      <c r="L39">
        <v>0</v>
      </c>
      <c r="P39" t="s">
        <v>1495</v>
      </c>
    </row>
    <row r="40" spans="1:16">
      <c r="A40" s="29">
        <v>46213.904085648152</v>
      </c>
      <c r="B40" s="30">
        <v>46212</v>
      </c>
      <c r="C40">
        <v>2020488</v>
      </c>
      <c r="D40" t="s">
        <v>383</v>
      </c>
      <c r="E40" t="s">
        <v>643</v>
      </c>
      <c r="F40" t="s">
        <v>655</v>
      </c>
      <c r="G40" t="s">
        <v>229</v>
      </c>
      <c r="H40" t="s">
        <v>641</v>
      </c>
      <c r="I40" t="s">
        <v>97</v>
      </c>
      <c r="J40">
        <v>300</v>
      </c>
      <c r="K40">
        <v>0</v>
      </c>
      <c r="L40">
        <v>0</v>
      </c>
      <c r="P40" t="s">
        <v>1497</v>
      </c>
    </row>
    <row r="41" spans="1:16">
      <c r="A41" s="29">
        <v>46213.904085648152</v>
      </c>
      <c r="B41" s="30">
        <v>46212</v>
      </c>
      <c r="C41">
        <v>2020488</v>
      </c>
      <c r="D41" t="s">
        <v>383</v>
      </c>
      <c r="E41" t="s">
        <v>643</v>
      </c>
      <c r="F41" t="s">
        <v>655</v>
      </c>
      <c r="G41" t="s">
        <v>229</v>
      </c>
      <c r="H41" t="s">
        <v>641</v>
      </c>
      <c r="I41" t="s">
        <v>97</v>
      </c>
      <c r="J41">
        <v>308</v>
      </c>
      <c r="K41">
        <v>1</v>
      </c>
      <c r="L41">
        <v>1</v>
      </c>
      <c r="P41" t="s">
        <v>1497</v>
      </c>
    </row>
    <row r="42" spans="1:16">
      <c r="A42" s="29">
        <v>46213.904085648152</v>
      </c>
      <c r="B42" s="30">
        <v>46212</v>
      </c>
      <c r="C42">
        <v>2020488</v>
      </c>
      <c r="D42" t="s">
        <v>383</v>
      </c>
      <c r="E42" t="s">
        <v>643</v>
      </c>
      <c r="F42" t="s">
        <v>655</v>
      </c>
      <c r="G42" t="s">
        <v>229</v>
      </c>
      <c r="H42" t="s">
        <v>641</v>
      </c>
      <c r="I42" t="s">
        <v>97</v>
      </c>
      <c r="J42" t="s">
        <v>456</v>
      </c>
      <c r="K42">
        <v>1</v>
      </c>
      <c r="L42">
        <v>1</v>
      </c>
      <c r="M42">
        <v>1</v>
      </c>
      <c r="N42">
        <v>1</v>
      </c>
      <c r="P42" t="s">
        <v>1497</v>
      </c>
    </row>
    <row r="43" spans="1:16">
      <c r="A43" s="29">
        <v>46213.904606481483</v>
      </c>
      <c r="B43" s="30">
        <v>46213</v>
      </c>
      <c r="C43">
        <v>2020488</v>
      </c>
      <c r="D43" t="s">
        <v>383</v>
      </c>
      <c r="E43" t="s">
        <v>643</v>
      </c>
      <c r="F43" t="s">
        <v>655</v>
      </c>
      <c r="G43" t="s">
        <v>244</v>
      </c>
      <c r="H43" t="s">
        <v>641</v>
      </c>
      <c r="I43" t="s">
        <v>97</v>
      </c>
      <c r="J43">
        <v>300</v>
      </c>
      <c r="K43">
        <v>0</v>
      </c>
      <c r="L43">
        <v>0</v>
      </c>
      <c r="P43" t="s">
        <v>1498</v>
      </c>
    </row>
    <row r="44" spans="1:16">
      <c r="A44" s="29">
        <v>46213.904606481483</v>
      </c>
      <c r="B44" s="30">
        <v>46213</v>
      </c>
      <c r="C44">
        <v>2020488</v>
      </c>
      <c r="D44" t="s">
        <v>383</v>
      </c>
      <c r="E44" t="s">
        <v>643</v>
      </c>
      <c r="F44" t="s">
        <v>655</v>
      </c>
      <c r="G44" t="s">
        <v>244</v>
      </c>
      <c r="H44" t="s">
        <v>641</v>
      </c>
      <c r="I44" t="s">
        <v>97</v>
      </c>
      <c r="J44">
        <v>308</v>
      </c>
      <c r="K44">
        <v>1</v>
      </c>
      <c r="L44">
        <v>0.5</v>
      </c>
      <c r="P44" t="s">
        <v>1498</v>
      </c>
    </row>
    <row r="45" spans="1:16">
      <c r="A45" s="29">
        <v>46213.904606481483</v>
      </c>
      <c r="B45" s="30">
        <v>46213</v>
      </c>
      <c r="C45">
        <v>2020488</v>
      </c>
      <c r="D45" t="s">
        <v>383</v>
      </c>
      <c r="E45" t="s">
        <v>643</v>
      </c>
      <c r="F45" t="s">
        <v>655</v>
      </c>
      <c r="G45" t="s">
        <v>244</v>
      </c>
      <c r="H45" t="s">
        <v>641</v>
      </c>
      <c r="I45" t="s">
        <v>97</v>
      </c>
      <c r="J45" t="s">
        <v>455</v>
      </c>
      <c r="K45">
        <v>1</v>
      </c>
      <c r="L45">
        <v>0.5</v>
      </c>
      <c r="M45">
        <v>1</v>
      </c>
      <c r="N45">
        <v>1</v>
      </c>
      <c r="P45" t="s">
        <v>1498</v>
      </c>
    </row>
    <row r="46" spans="1:16">
      <c r="A46" s="29">
        <v>46213.904988425929</v>
      </c>
      <c r="B46" s="30">
        <v>46213</v>
      </c>
      <c r="C46">
        <v>2020488</v>
      </c>
      <c r="D46" t="s">
        <v>383</v>
      </c>
      <c r="E46" t="s">
        <v>643</v>
      </c>
      <c r="F46" t="s">
        <v>655</v>
      </c>
      <c r="G46" t="s">
        <v>437</v>
      </c>
      <c r="H46" t="s">
        <v>641</v>
      </c>
      <c r="I46" t="s">
        <v>97</v>
      </c>
      <c r="J46">
        <v>300</v>
      </c>
      <c r="K46">
        <v>0</v>
      </c>
      <c r="L46">
        <v>0</v>
      </c>
      <c r="P46" t="s">
        <v>1499</v>
      </c>
    </row>
    <row r="47" spans="1:16">
      <c r="A47" s="29">
        <v>46213.904988425929</v>
      </c>
      <c r="B47" s="30">
        <v>46213</v>
      </c>
      <c r="C47">
        <v>2020488</v>
      </c>
      <c r="D47" t="s">
        <v>383</v>
      </c>
      <c r="E47" t="s">
        <v>643</v>
      </c>
      <c r="F47" t="s">
        <v>655</v>
      </c>
      <c r="G47" t="s">
        <v>437</v>
      </c>
      <c r="H47" t="s">
        <v>641</v>
      </c>
      <c r="I47" t="s">
        <v>97</v>
      </c>
      <c r="J47">
        <v>308</v>
      </c>
      <c r="K47">
        <v>0</v>
      </c>
      <c r="L47">
        <v>0</v>
      </c>
      <c r="P47" t="s">
        <v>1499</v>
      </c>
    </row>
    <row r="48" spans="1:16">
      <c r="A48" s="29">
        <v>46214.894641203704</v>
      </c>
      <c r="B48" s="30">
        <v>46214</v>
      </c>
      <c r="C48">
        <v>2222785</v>
      </c>
      <c r="D48" t="s">
        <v>399</v>
      </c>
      <c r="E48" t="s">
        <v>643</v>
      </c>
      <c r="F48" t="s">
        <v>655</v>
      </c>
      <c r="G48" t="s">
        <v>1540</v>
      </c>
      <c r="H48" t="s">
        <v>641</v>
      </c>
      <c r="I48" t="s">
        <v>86</v>
      </c>
      <c r="J48">
        <v>300</v>
      </c>
      <c r="K48">
        <v>0</v>
      </c>
      <c r="L48">
        <v>0</v>
      </c>
      <c r="P48" t="s">
        <v>1541</v>
      </c>
    </row>
    <row r="49" spans="1:16">
      <c r="A49" s="29">
        <v>46214.894641203704</v>
      </c>
      <c r="B49" s="30">
        <v>46214</v>
      </c>
      <c r="C49">
        <v>2222785</v>
      </c>
      <c r="D49" t="s">
        <v>399</v>
      </c>
      <c r="E49" t="s">
        <v>643</v>
      </c>
      <c r="F49" t="s">
        <v>655</v>
      </c>
      <c r="G49" t="s">
        <v>1540</v>
      </c>
      <c r="H49" t="s">
        <v>641</v>
      </c>
      <c r="I49" t="s">
        <v>86</v>
      </c>
      <c r="J49">
        <v>308</v>
      </c>
      <c r="K49">
        <v>0</v>
      </c>
      <c r="L49">
        <v>0</v>
      </c>
      <c r="P49" t="s">
        <v>1541</v>
      </c>
    </row>
    <row r="50" spans="1:16">
      <c r="A50" s="29">
        <v>46217.223912037036</v>
      </c>
      <c r="B50" s="30">
        <v>46216</v>
      </c>
      <c r="C50">
        <v>2022158</v>
      </c>
      <c r="D50" t="s">
        <v>394</v>
      </c>
      <c r="E50" t="s">
        <v>653</v>
      </c>
      <c r="F50" t="s">
        <v>655</v>
      </c>
      <c r="G50" t="s">
        <v>234</v>
      </c>
      <c r="H50" t="s">
        <v>641</v>
      </c>
      <c r="I50" t="s">
        <v>82</v>
      </c>
      <c r="J50">
        <v>300</v>
      </c>
      <c r="K50">
        <v>0</v>
      </c>
      <c r="L50">
        <v>0</v>
      </c>
      <c r="P50" t="s">
        <v>1570</v>
      </c>
    </row>
    <row r="51" spans="1:16">
      <c r="A51" s="29">
        <v>46217.223912037036</v>
      </c>
      <c r="B51" s="30">
        <v>46216</v>
      </c>
      <c r="C51">
        <v>2022158</v>
      </c>
      <c r="D51" t="s">
        <v>394</v>
      </c>
      <c r="E51" t="s">
        <v>653</v>
      </c>
      <c r="F51" t="s">
        <v>655</v>
      </c>
      <c r="G51" t="s">
        <v>234</v>
      </c>
      <c r="H51" t="s">
        <v>641</v>
      </c>
      <c r="I51" t="s">
        <v>82</v>
      </c>
      <c r="J51">
        <v>308</v>
      </c>
      <c r="K51">
        <v>0</v>
      </c>
      <c r="L51">
        <v>0</v>
      </c>
      <c r="P51" t="s">
        <v>1570</v>
      </c>
    </row>
    <row r="52" spans="1:16">
      <c r="A52" s="29">
        <v>46217.243611111109</v>
      </c>
      <c r="B52" s="30">
        <v>46216</v>
      </c>
      <c r="C52">
        <v>1921551</v>
      </c>
      <c r="D52" t="s">
        <v>380</v>
      </c>
      <c r="E52" t="s">
        <v>653</v>
      </c>
      <c r="F52" t="s">
        <v>655</v>
      </c>
      <c r="G52" t="s">
        <v>1577</v>
      </c>
      <c r="H52" t="s">
        <v>641</v>
      </c>
      <c r="I52" t="s">
        <v>86</v>
      </c>
      <c r="J52">
        <v>300</v>
      </c>
      <c r="K52">
        <v>0</v>
      </c>
      <c r="L52">
        <v>0</v>
      </c>
      <c r="P52" t="s">
        <v>1579</v>
      </c>
    </row>
    <row r="53" spans="1:16">
      <c r="A53" s="29">
        <v>46217.243611111109</v>
      </c>
      <c r="B53" s="30">
        <v>46216</v>
      </c>
      <c r="C53">
        <v>1921551</v>
      </c>
      <c r="D53" t="s">
        <v>380</v>
      </c>
      <c r="E53" t="s">
        <v>653</v>
      </c>
      <c r="F53" t="s">
        <v>655</v>
      </c>
      <c r="G53" t="s">
        <v>1577</v>
      </c>
      <c r="H53" t="s">
        <v>641</v>
      </c>
      <c r="I53" t="s">
        <v>86</v>
      </c>
      <c r="J53">
        <v>308</v>
      </c>
      <c r="K53">
        <v>0</v>
      </c>
      <c r="L53">
        <v>0</v>
      </c>
      <c r="P53" t="s">
        <v>1579</v>
      </c>
    </row>
    <row r="54" spans="1:16">
      <c r="A54" s="29">
        <v>46217.576516203706</v>
      </c>
      <c r="B54" s="30">
        <v>46217</v>
      </c>
      <c r="C54">
        <v>2222785</v>
      </c>
      <c r="D54" t="s">
        <v>399</v>
      </c>
      <c r="E54" t="s">
        <v>659</v>
      </c>
      <c r="F54" t="s">
        <v>655</v>
      </c>
      <c r="G54" t="s">
        <v>234</v>
      </c>
      <c r="H54" t="s">
        <v>641</v>
      </c>
      <c r="I54" t="s">
        <v>82</v>
      </c>
      <c r="J54">
        <v>300</v>
      </c>
      <c r="K54">
        <v>0</v>
      </c>
      <c r="L54">
        <v>0</v>
      </c>
      <c r="P54" t="s">
        <v>1592</v>
      </c>
    </row>
    <row r="55" spans="1:16">
      <c r="A55" s="29">
        <v>46217.576516203706</v>
      </c>
      <c r="B55" s="30">
        <v>46217</v>
      </c>
      <c r="C55">
        <v>2222785</v>
      </c>
      <c r="D55" t="s">
        <v>399</v>
      </c>
      <c r="E55" t="s">
        <v>659</v>
      </c>
      <c r="F55" t="s">
        <v>655</v>
      </c>
      <c r="G55" t="s">
        <v>234</v>
      </c>
      <c r="H55" t="s">
        <v>641</v>
      </c>
      <c r="I55" t="s">
        <v>82</v>
      </c>
      <c r="J55">
        <v>308</v>
      </c>
      <c r="K55">
        <v>0</v>
      </c>
      <c r="L55">
        <v>0</v>
      </c>
      <c r="P55" t="s">
        <v>1592</v>
      </c>
    </row>
    <row r="56" spans="1:16">
      <c r="A56" s="29">
        <v>46217.577291666668</v>
      </c>
      <c r="B56" s="30">
        <v>46217</v>
      </c>
      <c r="C56">
        <v>2222785</v>
      </c>
      <c r="D56" t="s">
        <v>399</v>
      </c>
      <c r="E56" t="s">
        <v>659</v>
      </c>
      <c r="F56" t="s">
        <v>655</v>
      </c>
      <c r="G56" t="s">
        <v>243</v>
      </c>
      <c r="H56" t="s">
        <v>641</v>
      </c>
      <c r="I56" t="s">
        <v>82</v>
      </c>
      <c r="J56">
        <v>300</v>
      </c>
      <c r="K56">
        <v>0</v>
      </c>
      <c r="L56">
        <v>0</v>
      </c>
      <c r="P56" t="s">
        <v>1593</v>
      </c>
    </row>
    <row r="57" spans="1:16">
      <c r="A57" s="29">
        <v>46217.577291666668</v>
      </c>
      <c r="B57" s="30">
        <v>46217</v>
      </c>
      <c r="C57">
        <v>2222785</v>
      </c>
      <c r="D57" t="s">
        <v>399</v>
      </c>
      <c r="E57" t="s">
        <v>659</v>
      </c>
      <c r="F57" t="s">
        <v>655</v>
      </c>
      <c r="G57" t="s">
        <v>243</v>
      </c>
      <c r="H57" t="s">
        <v>641</v>
      </c>
      <c r="I57" t="s">
        <v>82</v>
      </c>
      <c r="J57">
        <v>308</v>
      </c>
      <c r="K57">
        <v>0</v>
      </c>
      <c r="L57">
        <v>0</v>
      </c>
      <c r="P57" t="s">
        <v>1593</v>
      </c>
    </row>
    <row r="58" spans="1:16">
      <c r="A58" s="29">
        <v>46217.578159722223</v>
      </c>
      <c r="B58" s="30">
        <v>46217</v>
      </c>
      <c r="C58">
        <v>2222785</v>
      </c>
      <c r="D58" t="s">
        <v>399</v>
      </c>
      <c r="E58" t="s">
        <v>659</v>
      </c>
      <c r="F58" t="s">
        <v>655</v>
      </c>
      <c r="G58" t="s">
        <v>222</v>
      </c>
      <c r="H58" t="s">
        <v>641</v>
      </c>
      <c r="I58" t="s">
        <v>98</v>
      </c>
      <c r="J58">
        <v>300</v>
      </c>
      <c r="K58">
        <v>0</v>
      </c>
      <c r="L58">
        <v>0</v>
      </c>
      <c r="P58" t="s">
        <v>1594</v>
      </c>
    </row>
    <row r="59" spans="1:16">
      <c r="A59" s="29">
        <v>46217.578159722223</v>
      </c>
      <c r="B59" s="30">
        <v>46217</v>
      </c>
      <c r="C59">
        <v>2222785</v>
      </c>
      <c r="D59" t="s">
        <v>399</v>
      </c>
      <c r="E59" t="s">
        <v>659</v>
      </c>
      <c r="F59" t="s">
        <v>655</v>
      </c>
      <c r="G59" t="s">
        <v>222</v>
      </c>
      <c r="H59" t="s">
        <v>641</v>
      </c>
      <c r="I59" t="s">
        <v>98</v>
      </c>
      <c r="J59">
        <v>308</v>
      </c>
      <c r="K59">
        <v>0</v>
      </c>
      <c r="L59">
        <v>0</v>
      </c>
      <c r="P59" t="s">
        <v>1594</v>
      </c>
    </row>
    <row r="60" spans="1:16">
      <c r="A60" s="29">
        <v>46218.525972222225</v>
      </c>
      <c r="B60" s="30">
        <v>46217</v>
      </c>
      <c r="C60">
        <v>2222785</v>
      </c>
      <c r="D60" t="s">
        <v>399</v>
      </c>
      <c r="E60" t="s">
        <v>659</v>
      </c>
      <c r="F60" t="s">
        <v>655</v>
      </c>
      <c r="G60" t="s">
        <v>466</v>
      </c>
      <c r="H60" t="s">
        <v>641</v>
      </c>
      <c r="I60" t="s">
        <v>98</v>
      </c>
      <c r="J60">
        <v>300</v>
      </c>
      <c r="K60">
        <v>0</v>
      </c>
      <c r="L60">
        <v>0</v>
      </c>
      <c r="P60" t="s">
        <v>1628</v>
      </c>
    </row>
    <row r="61" spans="1:16">
      <c r="A61" s="29">
        <v>46218.525972222225</v>
      </c>
      <c r="B61" s="30">
        <v>46217</v>
      </c>
      <c r="C61">
        <v>2222785</v>
      </c>
      <c r="D61" t="s">
        <v>399</v>
      </c>
      <c r="E61" t="s">
        <v>659</v>
      </c>
      <c r="F61" t="s">
        <v>655</v>
      </c>
      <c r="G61" t="s">
        <v>466</v>
      </c>
      <c r="H61" t="s">
        <v>641</v>
      </c>
      <c r="I61" t="s">
        <v>98</v>
      </c>
      <c r="J61">
        <v>308</v>
      </c>
      <c r="K61">
        <v>0</v>
      </c>
      <c r="L61">
        <v>0</v>
      </c>
      <c r="P61" t="s">
        <v>1628</v>
      </c>
    </row>
    <row r="62" spans="1:16">
      <c r="A62" s="29">
        <v>46218.526550925926</v>
      </c>
      <c r="B62" s="30">
        <v>46217</v>
      </c>
      <c r="C62">
        <v>2222785</v>
      </c>
      <c r="D62" t="s">
        <v>399</v>
      </c>
      <c r="E62" t="s">
        <v>659</v>
      </c>
      <c r="F62" t="s">
        <v>655</v>
      </c>
      <c r="G62" t="s">
        <v>243</v>
      </c>
      <c r="H62" t="s">
        <v>641</v>
      </c>
      <c r="I62" t="s">
        <v>82</v>
      </c>
      <c r="J62">
        <v>300</v>
      </c>
      <c r="K62">
        <v>0</v>
      </c>
      <c r="L62">
        <v>0</v>
      </c>
      <c r="P62" t="s">
        <v>1629</v>
      </c>
    </row>
    <row r="63" spans="1:16">
      <c r="A63" s="29">
        <v>46218.526550925926</v>
      </c>
      <c r="B63" s="30">
        <v>46217</v>
      </c>
      <c r="C63">
        <v>2222785</v>
      </c>
      <c r="D63" t="s">
        <v>399</v>
      </c>
      <c r="E63" t="s">
        <v>659</v>
      </c>
      <c r="F63" t="s">
        <v>655</v>
      </c>
      <c r="G63" t="s">
        <v>243</v>
      </c>
      <c r="H63" t="s">
        <v>641</v>
      </c>
      <c r="I63" t="s">
        <v>82</v>
      </c>
      <c r="J63">
        <v>308</v>
      </c>
      <c r="K63">
        <v>0</v>
      </c>
      <c r="L63">
        <v>0</v>
      </c>
      <c r="P63" t="s">
        <v>1629</v>
      </c>
    </row>
    <row r="64" spans="1:16">
      <c r="A64" s="29">
        <v>46218.53025462963</v>
      </c>
      <c r="B64" s="30">
        <v>46218</v>
      </c>
      <c r="C64">
        <v>2224358</v>
      </c>
      <c r="D64" t="s">
        <v>417</v>
      </c>
      <c r="E64" t="s">
        <v>659</v>
      </c>
      <c r="F64" t="s">
        <v>655</v>
      </c>
      <c r="G64" t="s">
        <v>1631</v>
      </c>
      <c r="H64" t="s">
        <v>641</v>
      </c>
      <c r="I64" t="s">
        <v>1047</v>
      </c>
      <c r="J64">
        <v>300</v>
      </c>
      <c r="K64">
        <v>0</v>
      </c>
      <c r="L64">
        <v>0</v>
      </c>
      <c r="P64" t="s">
        <v>1632</v>
      </c>
    </row>
    <row r="65" spans="1:16">
      <c r="A65" s="29">
        <v>46218.53025462963</v>
      </c>
      <c r="B65" s="30">
        <v>46218</v>
      </c>
      <c r="C65">
        <v>2224358</v>
      </c>
      <c r="D65" t="s">
        <v>417</v>
      </c>
      <c r="E65" t="s">
        <v>659</v>
      </c>
      <c r="F65" t="s">
        <v>655</v>
      </c>
      <c r="G65" t="s">
        <v>1631</v>
      </c>
      <c r="H65" t="s">
        <v>641</v>
      </c>
      <c r="I65" t="s">
        <v>1047</v>
      </c>
      <c r="J65">
        <v>308</v>
      </c>
      <c r="K65">
        <v>1</v>
      </c>
      <c r="L65">
        <v>0.75</v>
      </c>
      <c r="P65" t="s">
        <v>1632</v>
      </c>
    </row>
    <row r="66" spans="1:16">
      <c r="A66" s="29">
        <v>46218.53025462963</v>
      </c>
      <c r="B66" s="30">
        <v>46218</v>
      </c>
      <c r="C66">
        <v>2224358</v>
      </c>
      <c r="D66" t="s">
        <v>417</v>
      </c>
      <c r="E66" t="s">
        <v>659</v>
      </c>
      <c r="F66" t="s">
        <v>655</v>
      </c>
      <c r="G66" t="s">
        <v>1631</v>
      </c>
      <c r="H66" t="s">
        <v>641</v>
      </c>
      <c r="I66" t="s">
        <v>1047</v>
      </c>
      <c r="J66" t="s">
        <v>456</v>
      </c>
      <c r="K66">
        <v>1</v>
      </c>
      <c r="L66">
        <v>0.75</v>
      </c>
      <c r="M66">
        <v>1</v>
      </c>
      <c r="N66">
        <v>1</v>
      </c>
      <c r="P66" t="s">
        <v>1632</v>
      </c>
    </row>
    <row r="67" spans="1:16">
      <c r="A67" s="29">
        <v>46219.030127314814</v>
      </c>
      <c r="B67" s="30">
        <v>46218</v>
      </c>
      <c r="C67">
        <v>2325365</v>
      </c>
      <c r="D67" t="s">
        <v>414</v>
      </c>
      <c r="E67" t="s">
        <v>653</v>
      </c>
      <c r="F67" t="s">
        <v>655</v>
      </c>
      <c r="G67" t="s">
        <v>666</v>
      </c>
      <c r="H67" t="s">
        <v>641</v>
      </c>
      <c r="I67" t="s">
        <v>98</v>
      </c>
      <c r="J67">
        <v>300</v>
      </c>
      <c r="K67">
        <v>0</v>
      </c>
      <c r="L67">
        <v>0</v>
      </c>
      <c r="P67" t="s">
        <v>1655</v>
      </c>
    </row>
    <row r="68" spans="1:16">
      <c r="A68" s="29">
        <v>46219.030127314814</v>
      </c>
      <c r="B68" s="30">
        <v>46218</v>
      </c>
      <c r="C68">
        <v>2325365</v>
      </c>
      <c r="D68" t="s">
        <v>414</v>
      </c>
      <c r="E68" t="s">
        <v>653</v>
      </c>
      <c r="F68" t="s">
        <v>655</v>
      </c>
      <c r="G68" t="s">
        <v>666</v>
      </c>
      <c r="H68" t="s">
        <v>641</v>
      </c>
      <c r="I68" t="s">
        <v>98</v>
      </c>
      <c r="J68">
        <v>308</v>
      </c>
      <c r="K68">
        <v>0</v>
      </c>
      <c r="L68">
        <v>0</v>
      </c>
      <c r="P68" t="s">
        <v>1655</v>
      </c>
    </row>
    <row r="69" spans="1:16">
      <c r="A69" s="29">
        <v>46219.219907407409</v>
      </c>
      <c r="B69" s="30">
        <v>46218</v>
      </c>
      <c r="C69">
        <v>2022158</v>
      </c>
      <c r="D69" t="s">
        <v>394</v>
      </c>
      <c r="E69" t="s">
        <v>653</v>
      </c>
      <c r="F69" t="s">
        <v>655</v>
      </c>
      <c r="G69" t="s">
        <v>1216</v>
      </c>
      <c r="H69" t="s">
        <v>641</v>
      </c>
      <c r="I69" t="s">
        <v>99</v>
      </c>
      <c r="J69">
        <v>104</v>
      </c>
      <c r="K69">
        <v>1</v>
      </c>
      <c r="L69">
        <v>1.8333333333333335</v>
      </c>
      <c r="M69">
        <v>0</v>
      </c>
      <c r="N69">
        <v>1</v>
      </c>
      <c r="P69" t="s">
        <v>1668</v>
      </c>
    </row>
    <row r="70" spans="1:16">
      <c r="A70" s="29">
        <v>46219.219907407409</v>
      </c>
      <c r="B70" s="30">
        <v>46218</v>
      </c>
      <c r="C70">
        <v>2022158</v>
      </c>
      <c r="D70" t="s">
        <v>394</v>
      </c>
      <c r="E70" t="s">
        <v>653</v>
      </c>
      <c r="F70" t="s">
        <v>655</v>
      </c>
      <c r="G70" t="s">
        <v>1216</v>
      </c>
      <c r="H70" t="s">
        <v>641</v>
      </c>
      <c r="I70" t="s">
        <v>99</v>
      </c>
      <c r="J70">
        <v>300</v>
      </c>
      <c r="K70">
        <v>0</v>
      </c>
      <c r="L70">
        <v>0</v>
      </c>
      <c r="P70" t="s">
        <v>1668</v>
      </c>
    </row>
    <row r="71" spans="1:16">
      <c r="A71" s="29">
        <v>46219.219907407409</v>
      </c>
      <c r="B71" s="30">
        <v>46218</v>
      </c>
      <c r="C71">
        <v>2022158</v>
      </c>
      <c r="D71" t="s">
        <v>394</v>
      </c>
      <c r="E71" t="s">
        <v>653</v>
      </c>
      <c r="F71" t="s">
        <v>655</v>
      </c>
      <c r="G71" t="s">
        <v>1216</v>
      </c>
      <c r="H71" t="s">
        <v>641</v>
      </c>
      <c r="I71" t="s">
        <v>99</v>
      </c>
      <c r="J71">
        <v>308</v>
      </c>
      <c r="K71">
        <v>0</v>
      </c>
      <c r="L71">
        <v>0</v>
      </c>
      <c r="P71" t="s">
        <v>1668</v>
      </c>
    </row>
    <row r="72" spans="1:16">
      <c r="A72" s="29">
        <v>46219.490763888891</v>
      </c>
      <c r="B72" s="30">
        <v>46218</v>
      </c>
      <c r="C72">
        <v>2325301</v>
      </c>
      <c r="D72" t="s">
        <v>412</v>
      </c>
      <c r="E72" t="s">
        <v>659</v>
      </c>
      <c r="F72" t="s">
        <v>655</v>
      </c>
      <c r="G72" t="s">
        <v>1216</v>
      </c>
      <c r="H72" t="s">
        <v>641</v>
      </c>
      <c r="I72" t="s">
        <v>99</v>
      </c>
      <c r="J72">
        <v>104</v>
      </c>
      <c r="L72">
        <v>0.66666666666666663</v>
      </c>
      <c r="M72">
        <v>0</v>
      </c>
      <c r="N72">
        <v>1</v>
      </c>
      <c r="P72" t="s">
        <v>1685</v>
      </c>
    </row>
    <row r="73" spans="1:16">
      <c r="A73" s="29">
        <v>46219.490763888891</v>
      </c>
      <c r="B73" s="30">
        <v>46218</v>
      </c>
      <c r="C73">
        <v>2325301</v>
      </c>
      <c r="D73" t="s">
        <v>412</v>
      </c>
      <c r="E73" t="s">
        <v>659</v>
      </c>
      <c r="F73" t="s">
        <v>655</v>
      </c>
      <c r="G73" t="s">
        <v>1216</v>
      </c>
      <c r="H73" t="s">
        <v>641</v>
      </c>
      <c r="I73" t="s">
        <v>99</v>
      </c>
      <c r="J73">
        <v>300</v>
      </c>
      <c r="K73">
        <v>0</v>
      </c>
      <c r="L73">
        <v>0</v>
      </c>
      <c r="P73" t="s">
        <v>1685</v>
      </c>
    </row>
    <row r="74" spans="1:16">
      <c r="A74" s="29">
        <v>46219.490763888891</v>
      </c>
      <c r="B74" s="30">
        <v>46218</v>
      </c>
      <c r="C74">
        <v>2325301</v>
      </c>
      <c r="D74" t="s">
        <v>412</v>
      </c>
      <c r="E74" t="s">
        <v>659</v>
      </c>
      <c r="F74" t="s">
        <v>655</v>
      </c>
      <c r="G74" t="s">
        <v>1216</v>
      </c>
      <c r="H74" t="s">
        <v>641</v>
      </c>
      <c r="I74" t="s">
        <v>99</v>
      </c>
      <c r="J74">
        <v>308</v>
      </c>
      <c r="K74">
        <v>0</v>
      </c>
      <c r="L74">
        <v>0</v>
      </c>
      <c r="P74" t="s">
        <v>1685</v>
      </c>
    </row>
    <row r="75" spans="1:16">
      <c r="A75" s="29">
        <v>46219.493576388886</v>
      </c>
      <c r="B75" s="30">
        <v>46218</v>
      </c>
      <c r="C75">
        <v>2224358</v>
      </c>
      <c r="D75" t="s">
        <v>417</v>
      </c>
      <c r="E75" t="s">
        <v>659</v>
      </c>
      <c r="F75" t="s">
        <v>655</v>
      </c>
      <c r="G75" t="s">
        <v>223</v>
      </c>
      <c r="H75" t="s">
        <v>641</v>
      </c>
      <c r="I75" t="s">
        <v>94</v>
      </c>
      <c r="J75">
        <v>300</v>
      </c>
      <c r="K75">
        <v>0</v>
      </c>
      <c r="L75">
        <v>0</v>
      </c>
      <c r="P75" t="s">
        <v>1688</v>
      </c>
    </row>
    <row r="76" spans="1:16">
      <c r="A76" s="29">
        <v>46219.493576388886</v>
      </c>
      <c r="B76" s="30">
        <v>46218</v>
      </c>
      <c r="C76">
        <v>2224358</v>
      </c>
      <c r="D76" t="s">
        <v>417</v>
      </c>
      <c r="E76" t="s">
        <v>659</v>
      </c>
      <c r="F76" t="s">
        <v>655</v>
      </c>
      <c r="G76" t="s">
        <v>223</v>
      </c>
      <c r="H76" t="s">
        <v>641</v>
      </c>
      <c r="I76" t="s">
        <v>94</v>
      </c>
      <c r="J76">
        <v>308</v>
      </c>
      <c r="K76">
        <v>1</v>
      </c>
      <c r="L76">
        <v>0.75</v>
      </c>
      <c r="P76" t="s">
        <v>1688</v>
      </c>
    </row>
    <row r="77" spans="1:16">
      <c r="A77" s="29">
        <v>46219.493576388886</v>
      </c>
      <c r="B77" s="30">
        <v>46218</v>
      </c>
      <c r="C77">
        <v>2224358</v>
      </c>
      <c r="D77" t="s">
        <v>417</v>
      </c>
      <c r="E77" t="s">
        <v>659</v>
      </c>
      <c r="F77" t="s">
        <v>655</v>
      </c>
      <c r="G77" t="s">
        <v>223</v>
      </c>
      <c r="H77" t="s">
        <v>641</v>
      </c>
      <c r="I77" t="s">
        <v>94</v>
      </c>
      <c r="J77" t="s">
        <v>456</v>
      </c>
      <c r="K77">
        <v>1</v>
      </c>
      <c r="L77">
        <v>0.75</v>
      </c>
      <c r="M77">
        <v>1</v>
      </c>
      <c r="N77">
        <v>1</v>
      </c>
      <c r="P77" t="s">
        <v>1688</v>
      </c>
    </row>
    <row r="78" spans="1:16">
      <c r="A78" s="29">
        <v>46220.135949074072</v>
      </c>
      <c r="B78" s="30">
        <v>46219</v>
      </c>
      <c r="C78">
        <v>1921551</v>
      </c>
      <c r="D78" t="s">
        <v>380</v>
      </c>
      <c r="E78" t="s">
        <v>653</v>
      </c>
      <c r="F78" t="s">
        <v>655</v>
      </c>
      <c r="G78" t="s">
        <v>702</v>
      </c>
      <c r="H78" t="s">
        <v>641</v>
      </c>
      <c r="I78" t="s">
        <v>86</v>
      </c>
      <c r="J78">
        <v>300</v>
      </c>
      <c r="K78">
        <v>0</v>
      </c>
      <c r="L78">
        <v>0</v>
      </c>
      <c r="P78" t="s">
        <v>1713</v>
      </c>
    </row>
    <row r="79" spans="1:16">
      <c r="A79" s="29">
        <v>46220.135949074072</v>
      </c>
      <c r="B79" s="30">
        <v>46219</v>
      </c>
      <c r="C79">
        <v>1921551</v>
      </c>
      <c r="D79" t="s">
        <v>380</v>
      </c>
      <c r="E79" t="s">
        <v>653</v>
      </c>
      <c r="F79" t="s">
        <v>655</v>
      </c>
      <c r="G79" t="s">
        <v>702</v>
      </c>
      <c r="H79" t="s">
        <v>641</v>
      </c>
      <c r="I79" t="s">
        <v>86</v>
      </c>
      <c r="J79">
        <v>308</v>
      </c>
      <c r="K79">
        <v>0</v>
      </c>
      <c r="L79">
        <v>0</v>
      </c>
      <c r="P79" t="s">
        <v>1713</v>
      </c>
    </row>
    <row r="80" spans="1:16">
      <c r="A80" s="29">
        <v>46220.55059027778</v>
      </c>
      <c r="B80" s="30">
        <v>46220</v>
      </c>
      <c r="C80">
        <v>2222785</v>
      </c>
      <c r="D80" t="s">
        <v>399</v>
      </c>
      <c r="E80" t="s">
        <v>659</v>
      </c>
      <c r="F80" t="s">
        <v>655</v>
      </c>
      <c r="G80" t="s">
        <v>259</v>
      </c>
      <c r="H80" t="s">
        <v>641</v>
      </c>
      <c r="I80" t="s">
        <v>82</v>
      </c>
      <c r="J80">
        <v>300</v>
      </c>
      <c r="K80">
        <v>0</v>
      </c>
      <c r="L80">
        <v>0</v>
      </c>
      <c r="P80" t="s">
        <v>1734</v>
      </c>
    </row>
    <row r="81" spans="1:16">
      <c r="A81" s="29">
        <v>46220.55059027778</v>
      </c>
      <c r="B81" s="30">
        <v>46220</v>
      </c>
      <c r="C81">
        <v>2222785</v>
      </c>
      <c r="D81" t="s">
        <v>399</v>
      </c>
      <c r="E81" t="s">
        <v>659</v>
      </c>
      <c r="F81" t="s">
        <v>655</v>
      </c>
      <c r="G81" t="s">
        <v>259</v>
      </c>
      <c r="H81" t="s">
        <v>641</v>
      </c>
      <c r="I81" t="s">
        <v>82</v>
      </c>
      <c r="J81">
        <v>308</v>
      </c>
      <c r="K81">
        <v>0</v>
      </c>
      <c r="L81">
        <v>0</v>
      </c>
      <c r="P81" t="s">
        <v>1734</v>
      </c>
    </row>
    <row r="82" spans="1:16">
      <c r="A82" s="29">
        <v>46221.57775462963</v>
      </c>
      <c r="B82" s="30">
        <v>46221</v>
      </c>
      <c r="C82">
        <v>2222785</v>
      </c>
      <c r="D82" t="s">
        <v>399</v>
      </c>
      <c r="E82" t="s">
        <v>659</v>
      </c>
      <c r="F82" t="s">
        <v>655</v>
      </c>
      <c r="G82" t="s">
        <v>671</v>
      </c>
      <c r="H82" t="s">
        <v>641</v>
      </c>
      <c r="I82" t="s">
        <v>81</v>
      </c>
      <c r="J82">
        <v>300</v>
      </c>
      <c r="K82">
        <v>0</v>
      </c>
      <c r="L82">
        <v>0</v>
      </c>
      <c r="P82" t="s">
        <v>1770</v>
      </c>
    </row>
    <row r="83" spans="1:16">
      <c r="A83" s="29">
        <v>46221.57775462963</v>
      </c>
      <c r="B83" s="30">
        <v>46221</v>
      </c>
      <c r="C83">
        <v>2222785</v>
      </c>
      <c r="D83" t="s">
        <v>399</v>
      </c>
      <c r="E83" t="s">
        <v>659</v>
      </c>
      <c r="F83" t="s">
        <v>655</v>
      </c>
      <c r="G83" t="s">
        <v>671</v>
      </c>
      <c r="H83" t="s">
        <v>641</v>
      </c>
      <c r="I83" t="s">
        <v>81</v>
      </c>
      <c r="J83">
        <v>308</v>
      </c>
      <c r="K83">
        <v>0</v>
      </c>
      <c r="L83">
        <v>0</v>
      </c>
      <c r="P83" t="s">
        <v>1770</v>
      </c>
    </row>
    <row r="84" spans="1:16">
      <c r="A84" s="29">
        <v>46221.578587962962</v>
      </c>
      <c r="B84" s="30">
        <v>46221</v>
      </c>
      <c r="C84">
        <v>2222785</v>
      </c>
      <c r="D84" t="s">
        <v>399</v>
      </c>
      <c r="E84" t="s">
        <v>659</v>
      </c>
      <c r="F84" t="s">
        <v>655</v>
      </c>
      <c r="G84" t="s">
        <v>257</v>
      </c>
      <c r="H84" t="s">
        <v>641</v>
      </c>
      <c r="I84" t="s">
        <v>101</v>
      </c>
      <c r="J84">
        <v>300</v>
      </c>
      <c r="K84">
        <v>0</v>
      </c>
      <c r="L84">
        <v>0</v>
      </c>
      <c r="P84" t="s">
        <v>1772</v>
      </c>
    </row>
    <row r="85" spans="1:16">
      <c r="A85" s="29">
        <v>46221.578587962962</v>
      </c>
      <c r="B85" s="30">
        <v>46221</v>
      </c>
      <c r="C85">
        <v>2222785</v>
      </c>
      <c r="D85" t="s">
        <v>399</v>
      </c>
      <c r="E85" t="s">
        <v>659</v>
      </c>
      <c r="F85" t="s">
        <v>655</v>
      </c>
      <c r="G85" t="s">
        <v>257</v>
      </c>
      <c r="H85" t="s">
        <v>641</v>
      </c>
      <c r="I85" t="s">
        <v>101</v>
      </c>
      <c r="J85">
        <v>308</v>
      </c>
      <c r="K85">
        <v>0</v>
      </c>
      <c r="L85">
        <v>0</v>
      </c>
      <c r="P85" t="s">
        <v>1772</v>
      </c>
    </row>
    <row r="86" spans="1:16">
      <c r="A86" s="29">
        <v>46221.586319444446</v>
      </c>
      <c r="B86" s="30">
        <v>46221</v>
      </c>
      <c r="C86">
        <v>2220255</v>
      </c>
      <c r="D86" t="s">
        <v>396</v>
      </c>
      <c r="E86" t="s">
        <v>659</v>
      </c>
      <c r="F86" t="s">
        <v>655</v>
      </c>
      <c r="G86" t="s">
        <v>233</v>
      </c>
      <c r="H86" t="s">
        <v>641</v>
      </c>
      <c r="I86" t="s">
        <v>95</v>
      </c>
      <c r="J86">
        <v>300</v>
      </c>
      <c r="K86">
        <v>0</v>
      </c>
      <c r="L86">
        <v>0</v>
      </c>
      <c r="P86" t="s">
        <v>1774</v>
      </c>
    </row>
    <row r="87" spans="1:16">
      <c r="A87" s="29">
        <v>46221.586319444446</v>
      </c>
      <c r="B87" s="30">
        <v>46221</v>
      </c>
      <c r="C87">
        <v>2220255</v>
      </c>
      <c r="D87" t="s">
        <v>396</v>
      </c>
      <c r="E87" t="s">
        <v>659</v>
      </c>
      <c r="F87" t="s">
        <v>655</v>
      </c>
      <c r="G87" t="s">
        <v>233</v>
      </c>
      <c r="H87" t="s">
        <v>641</v>
      </c>
      <c r="I87" t="s">
        <v>95</v>
      </c>
      <c r="J87">
        <v>308</v>
      </c>
      <c r="K87">
        <v>1</v>
      </c>
      <c r="L87">
        <v>1</v>
      </c>
      <c r="P87" t="s">
        <v>1774</v>
      </c>
    </row>
    <row r="88" spans="1:16">
      <c r="A88" s="29">
        <v>46221.586319444446</v>
      </c>
      <c r="B88" s="30">
        <v>46221</v>
      </c>
      <c r="C88">
        <v>2220255</v>
      </c>
      <c r="D88" t="s">
        <v>396</v>
      </c>
      <c r="E88" t="s">
        <v>659</v>
      </c>
      <c r="F88" t="s">
        <v>655</v>
      </c>
      <c r="G88" t="s">
        <v>233</v>
      </c>
      <c r="H88" t="s">
        <v>641</v>
      </c>
      <c r="I88" t="s">
        <v>95</v>
      </c>
      <c r="J88" t="s">
        <v>456</v>
      </c>
      <c r="K88">
        <v>1</v>
      </c>
      <c r="L88">
        <v>1</v>
      </c>
      <c r="M88">
        <v>1</v>
      </c>
      <c r="N88">
        <v>1</v>
      </c>
      <c r="P88" t="s">
        <v>1774</v>
      </c>
    </row>
    <row r="89" spans="1:16">
      <c r="A89" s="29">
        <v>46223.794594907406</v>
      </c>
      <c r="B89" s="30">
        <v>46221</v>
      </c>
      <c r="C89">
        <v>1921551</v>
      </c>
      <c r="D89" t="s">
        <v>380</v>
      </c>
      <c r="E89" t="s">
        <v>643</v>
      </c>
      <c r="F89" t="s">
        <v>655</v>
      </c>
      <c r="G89" t="s">
        <v>430</v>
      </c>
      <c r="H89" t="s">
        <v>641</v>
      </c>
      <c r="I89" t="s">
        <v>88</v>
      </c>
      <c r="J89">
        <v>300</v>
      </c>
      <c r="K89">
        <v>0</v>
      </c>
      <c r="L89">
        <v>0</v>
      </c>
      <c r="P89" t="s">
        <v>1783</v>
      </c>
    </row>
    <row r="90" spans="1:16">
      <c r="A90" s="29">
        <v>46223.794594907406</v>
      </c>
      <c r="B90" s="30">
        <v>46221</v>
      </c>
      <c r="C90">
        <v>1921551</v>
      </c>
      <c r="D90" t="s">
        <v>380</v>
      </c>
      <c r="E90" t="s">
        <v>643</v>
      </c>
      <c r="F90" t="s">
        <v>655</v>
      </c>
      <c r="G90" t="s">
        <v>430</v>
      </c>
      <c r="H90" t="s">
        <v>641</v>
      </c>
      <c r="I90" t="s">
        <v>88</v>
      </c>
      <c r="J90">
        <v>308</v>
      </c>
      <c r="K90">
        <v>0</v>
      </c>
      <c r="L90">
        <v>0</v>
      </c>
      <c r="P90" t="s">
        <v>1783</v>
      </c>
    </row>
    <row r="91" spans="1:16">
      <c r="A91" s="29">
        <v>46223.826296296298</v>
      </c>
      <c r="B91" s="30">
        <v>46221</v>
      </c>
      <c r="C91">
        <v>2325365</v>
      </c>
      <c r="D91" t="s">
        <v>414</v>
      </c>
      <c r="E91" t="s">
        <v>643</v>
      </c>
      <c r="F91" t="s">
        <v>655</v>
      </c>
      <c r="G91" t="s">
        <v>661</v>
      </c>
      <c r="H91" t="s">
        <v>641</v>
      </c>
      <c r="I91" t="s">
        <v>97</v>
      </c>
      <c r="J91">
        <v>300</v>
      </c>
      <c r="K91">
        <v>0</v>
      </c>
      <c r="L91">
        <v>0</v>
      </c>
      <c r="P91" t="s">
        <v>1784</v>
      </c>
    </row>
    <row r="92" spans="1:16">
      <c r="A92" s="29">
        <v>46223.826296296298</v>
      </c>
      <c r="B92" s="30">
        <v>46221</v>
      </c>
      <c r="C92">
        <v>2325365</v>
      </c>
      <c r="D92" t="s">
        <v>414</v>
      </c>
      <c r="E92" t="s">
        <v>643</v>
      </c>
      <c r="F92" t="s">
        <v>655</v>
      </c>
      <c r="G92" t="s">
        <v>661</v>
      </c>
      <c r="H92" t="s">
        <v>641</v>
      </c>
      <c r="I92" t="s">
        <v>97</v>
      </c>
      <c r="J92">
        <v>308</v>
      </c>
      <c r="K92">
        <v>1</v>
      </c>
      <c r="L92">
        <v>1</v>
      </c>
      <c r="P92" t="s">
        <v>1784</v>
      </c>
    </row>
    <row r="93" spans="1:16">
      <c r="A93" s="29">
        <v>46223.826296296298</v>
      </c>
      <c r="B93" s="30">
        <v>46221</v>
      </c>
      <c r="C93">
        <v>2325365</v>
      </c>
      <c r="D93" t="s">
        <v>414</v>
      </c>
      <c r="E93" t="s">
        <v>643</v>
      </c>
      <c r="F93" t="s">
        <v>655</v>
      </c>
      <c r="G93" t="s">
        <v>661</v>
      </c>
      <c r="H93" t="s">
        <v>641</v>
      </c>
      <c r="I93" t="s">
        <v>97</v>
      </c>
      <c r="J93" t="s">
        <v>455</v>
      </c>
      <c r="K93">
        <v>1</v>
      </c>
      <c r="L93">
        <v>1</v>
      </c>
      <c r="M93">
        <v>1</v>
      </c>
      <c r="N93">
        <v>0</v>
      </c>
      <c r="P93" t="s">
        <v>1784</v>
      </c>
    </row>
    <row r="94" spans="1:16">
      <c r="A94" s="29">
        <v>46223.827048611114</v>
      </c>
      <c r="B94" s="30">
        <v>46223</v>
      </c>
      <c r="C94">
        <v>2325365</v>
      </c>
      <c r="D94" t="s">
        <v>414</v>
      </c>
      <c r="E94" t="s">
        <v>643</v>
      </c>
      <c r="F94" t="s">
        <v>655</v>
      </c>
      <c r="G94" t="s">
        <v>661</v>
      </c>
      <c r="H94" t="s">
        <v>641</v>
      </c>
      <c r="I94" t="s">
        <v>97</v>
      </c>
      <c r="J94">
        <v>300</v>
      </c>
      <c r="K94">
        <v>0</v>
      </c>
      <c r="L94">
        <v>0</v>
      </c>
      <c r="P94" t="s">
        <v>1785</v>
      </c>
    </row>
    <row r="95" spans="1:16">
      <c r="A95" s="29">
        <v>46223.827048611114</v>
      </c>
      <c r="B95" s="30">
        <v>46223</v>
      </c>
      <c r="C95">
        <v>2325365</v>
      </c>
      <c r="D95" t="s">
        <v>414</v>
      </c>
      <c r="E95" t="s">
        <v>643</v>
      </c>
      <c r="F95" t="s">
        <v>655</v>
      </c>
      <c r="G95" t="s">
        <v>661</v>
      </c>
      <c r="H95" t="s">
        <v>641</v>
      </c>
      <c r="I95" t="s">
        <v>97</v>
      </c>
      <c r="J95">
        <v>308</v>
      </c>
      <c r="K95">
        <v>1</v>
      </c>
      <c r="L95">
        <v>1</v>
      </c>
      <c r="P95" t="s">
        <v>1785</v>
      </c>
    </row>
    <row r="96" spans="1:16">
      <c r="A96" s="29">
        <v>46223.827048611114</v>
      </c>
      <c r="B96" s="30">
        <v>46223</v>
      </c>
      <c r="C96">
        <v>2325365</v>
      </c>
      <c r="D96" t="s">
        <v>414</v>
      </c>
      <c r="E96" t="s">
        <v>643</v>
      </c>
      <c r="F96" t="s">
        <v>655</v>
      </c>
      <c r="G96" t="s">
        <v>661</v>
      </c>
      <c r="H96" t="s">
        <v>641</v>
      </c>
      <c r="I96" t="s">
        <v>97</v>
      </c>
      <c r="J96" t="s">
        <v>455</v>
      </c>
      <c r="K96">
        <v>1</v>
      </c>
      <c r="L96">
        <v>1</v>
      </c>
      <c r="M96">
        <v>1</v>
      </c>
      <c r="N96">
        <v>0</v>
      </c>
      <c r="P96" t="s">
        <v>1785</v>
      </c>
    </row>
    <row r="97" spans="1:16">
      <c r="A97" s="29">
        <v>46223.833460648151</v>
      </c>
      <c r="B97" s="30">
        <v>46223</v>
      </c>
      <c r="C97">
        <v>2325365</v>
      </c>
      <c r="D97" t="s">
        <v>414</v>
      </c>
      <c r="E97" t="s">
        <v>643</v>
      </c>
      <c r="F97" t="s">
        <v>655</v>
      </c>
      <c r="G97" t="s">
        <v>661</v>
      </c>
      <c r="H97" t="s">
        <v>641</v>
      </c>
      <c r="I97" t="s">
        <v>97</v>
      </c>
      <c r="J97">
        <v>300</v>
      </c>
      <c r="K97">
        <v>0</v>
      </c>
      <c r="L97">
        <v>0</v>
      </c>
      <c r="P97" t="s">
        <v>1786</v>
      </c>
    </row>
    <row r="98" spans="1:16">
      <c r="A98" s="29">
        <v>46223.833460648151</v>
      </c>
      <c r="B98" s="30">
        <v>46223</v>
      </c>
      <c r="C98">
        <v>2325365</v>
      </c>
      <c r="D98" t="s">
        <v>414</v>
      </c>
      <c r="E98" t="s">
        <v>643</v>
      </c>
      <c r="F98" t="s">
        <v>655</v>
      </c>
      <c r="G98" t="s">
        <v>661</v>
      </c>
      <c r="H98" t="s">
        <v>641</v>
      </c>
      <c r="I98" t="s">
        <v>97</v>
      </c>
      <c r="J98">
        <v>308</v>
      </c>
      <c r="K98">
        <v>0</v>
      </c>
      <c r="L98">
        <v>0</v>
      </c>
      <c r="P98" t="s">
        <v>1786</v>
      </c>
    </row>
    <row r="99" spans="1:16">
      <c r="A99" s="29">
        <v>46223.910613425927</v>
      </c>
      <c r="B99" s="30">
        <v>46223</v>
      </c>
      <c r="C99">
        <v>2020965</v>
      </c>
      <c r="D99" t="s">
        <v>386</v>
      </c>
      <c r="E99" t="s">
        <v>643</v>
      </c>
      <c r="F99" t="s">
        <v>655</v>
      </c>
      <c r="G99" t="s">
        <v>233</v>
      </c>
      <c r="H99" t="s">
        <v>641</v>
      </c>
      <c r="I99" t="s">
        <v>95</v>
      </c>
      <c r="J99">
        <v>104</v>
      </c>
      <c r="K99">
        <v>1</v>
      </c>
      <c r="L99">
        <v>1.5</v>
      </c>
      <c r="M99">
        <v>0</v>
      </c>
      <c r="N99">
        <v>1</v>
      </c>
      <c r="P99" t="s">
        <v>1801</v>
      </c>
    </row>
    <row r="100" spans="1:16">
      <c r="A100" s="29">
        <v>46223.910613425927</v>
      </c>
      <c r="B100" s="30">
        <v>46223</v>
      </c>
      <c r="C100">
        <v>2020965</v>
      </c>
      <c r="D100" t="s">
        <v>386</v>
      </c>
      <c r="E100" t="s">
        <v>643</v>
      </c>
      <c r="F100" t="s">
        <v>655</v>
      </c>
      <c r="G100" t="s">
        <v>233</v>
      </c>
      <c r="H100" t="s">
        <v>641</v>
      </c>
      <c r="I100" t="s">
        <v>95</v>
      </c>
      <c r="J100">
        <v>300</v>
      </c>
      <c r="K100">
        <v>1</v>
      </c>
      <c r="L100">
        <v>0.5</v>
      </c>
      <c r="P100" t="s">
        <v>1801</v>
      </c>
    </row>
    <row r="101" spans="1:16">
      <c r="A101" s="29">
        <v>46223.910613425927</v>
      </c>
      <c r="B101" s="30">
        <v>46223</v>
      </c>
      <c r="C101">
        <v>2020965</v>
      </c>
      <c r="D101" t="s">
        <v>386</v>
      </c>
      <c r="E101" t="s">
        <v>643</v>
      </c>
      <c r="F101" t="s">
        <v>655</v>
      </c>
      <c r="G101" t="s">
        <v>233</v>
      </c>
      <c r="H101" t="s">
        <v>641</v>
      </c>
      <c r="I101" t="s">
        <v>95</v>
      </c>
      <c r="J101" t="s">
        <v>445</v>
      </c>
      <c r="K101">
        <v>1</v>
      </c>
      <c r="L101">
        <v>0.5</v>
      </c>
      <c r="M101">
        <v>1</v>
      </c>
      <c r="N101">
        <v>1</v>
      </c>
      <c r="P101" t="s">
        <v>1801</v>
      </c>
    </row>
    <row r="102" spans="1:16">
      <c r="A102" s="29">
        <v>46223.910613425927</v>
      </c>
      <c r="B102" s="30">
        <v>46223</v>
      </c>
      <c r="C102">
        <v>2020965</v>
      </c>
      <c r="D102" t="s">
        <v>386</v>
      </c>
      <c r="E102" t="s">
        <v>643</v>
      </c>
      <c r="F102" t="s">
        <v>655</v>
      </c>
      <c r="G102" t="s">
        <v>233</v>
      </c>
      <c r="H102" t="s">
        <v>641</v>
      </c>
      <c r="I102" t="s">
        <v>95</v>
      </c>
      <c r="J102" t="s">
        <v>38</v>
      </c>
      <c r="K102">
        <v>1</v>
      </c>
      <c r="L102">
        <v>1</v>
      </c>
      <c r="M102">
        <v>1</v>
      </c>
      <c r="N102">
        <v>1</v>
      </c>
      <c r="P102" t="s">
        <v>1801</v>
      </c>
    </row>
    <row r="103" spans="1:16">
      <c r="A103" s="29">
        <v>46223.910613425927</v>
      </c>
      <c r="B103" s="30">
        <v>46223</v>
      </c>
      <c r="C103">
        <v>2020965</v>
      </c>
      <c r="D103" t="s">
        <v>386</v>
      </c>
      <c r="E103" t="s">
        <v>643</v>
      </c>
      <c r="F103" t="s">
        <v>655</v>
      </c>
      <c r="G103" t="s">
        <v>233</v>
      </c>
      <c r="H103" t="s">
        <v>641</v>
      </c>
      <c r="I103" t="s">
        <v>95</v>
      </c>
      <c r="J103">
        <v>308</v>
      </c>
      <c r="K103">
        <v>1</v>
      </c>
      <c r="L103">
        <v>0.5</v>
      </c>
      <c r="P103" t="s">
        <v>1801</v>
      </c>
    </row>
    <row r="104" spans="1:16">
      <c r="A104" s="29">
        <v>46223.910613425927</v>
      </c>
      <c r="B104" s="30">
        <v>46223</v>
      </c>
      <c r="C104">
        <v>2020965</v>
      </c>
      <c r="D104" t="s">
        <v>386</v>
      </c>
      <c r="E104" t="s">
        <v>643</v>
      </c>
      <c r="F104" t="s">
        <v>655</v>
      </c>
      <c r="G104" t="s">
        <v>233</v>
      </c>
      <c r="H104" t="s">
        <v>641</v>
      </c>
      <c r="I104" t="s">
        <v>95</v>
      </c>
      <c r="J104" t="s">
        <v>455</v>
      </c>
      <c r="K104">
        <v>1</v>
      </c>
      <c r="L104">
        <v>0.5</v>
      </c>
      <c r="M104">
        <v>1</v>
      </c>
      <c r="N104">
        <v>1</v>
      </c>
      <c r="P104" t="s">
        <v>1801</v>
      </c>
    </row>
    <row r="105" spans="1:16">
      <c r="A105" s="29">
        <v>46223.910613425927</v>
      </c>
      <c r="B105" s="30">
        <v>46223</v>
      </c>
      <c r="C105">
        <v>2020965</v>
      </c>
      <c r="D105" t="s">
        <v>386</v>
      </c>
      <c r="E105" t="s">
        <v>643</v>
      </c>
      <c r="F105" t="s">
        <v>655</v>
      </c>
      <c r="G105" t="s">
        <v>233</v>
      </c>
      <c r="H105" t="s">
        <v>641</v>
      </c>
      <c r="I105" t="s">
        <v>95</v>
      </c>
      <c r="J105">
        <v>999</v>
      </c>
      <c r="K105">
        <v>1</v>
      </c>
      <c r="L105">
        <v>0.5</v>
      </c>
      <c r="M105">
        <v>1</v>
      </c>
      <c r="N105">
        <v>1</v>
      </c>
      <c r="P105" t="s">
        <v>1801</v>
      </c>
    </row>
    <row r="106" spans="1:16">
      <c r="A106" s="29">
        <v>46224.197245370371</v>
      </c>
      <c r="B106" s="30">
        <v>46223</v>
      </c>
      <c r="C106">
        <v>2243991</v>
      </c>
      <c r="D106" t="s">
        <v>410</v>
      </c>
      <c r="E106" t="s">
        <v>653</v>
      </c>
      <c r="F106" t="s">
        <v>655</v>
      </c>
      <c r="G106" t="s">
        <v>228</v>
      </c>
      <c r="H106" t="s">
        <v>641</v>
      </c>
      <c r="I106" t="s">
        <v>88</v>
      </c>
      <c r="J106">
        <v>300</v>
      </c>
      <c r="K106">
        <v>0</v>
      </c>
      <c r="L106">
        <v>0</v>
      </c>
      <c r="P106" t="s">
        <v>1805</v>
      </c>
    </row>
    <row r="107" spans="1:16">
      <c r="A107" s="29">
        <v>46224.197245370371</v>
      </c>
      <c r="B107" s="30">
        <v>46223</v>
      </c>
      <c r="C107">
        <v>2243991</v>
      </c>
      <c r="D107" t="s">
        <v>410</v>
      </c>
      <c r="E107" t="s">
        <v>653</v>
      </c>
      <c r="F107" t="s">
        <v>655</v>
      </c>
      <c r="G107" t="s">
        <v>228</v>
      </c>
      <c r="H107" t="s">
        <v>641</v>
      </c>
      <c r="I107" t="s">
        <v>88</v>
      </c>
      <c r="J107">
        <v>308</v>
      </c>
      <c r="K107">
        <v>0</v>
      </c>
      <c r="L107">
        <v>0</v>
      </c>
      <c r="P107" t="s">
        <v>1805</v>
      </c>
    </row>
    <row r="108" spans="1:16">
      <c r="A108" s="29">
        <v>46224.222708333335</v>
      </c>
      <c r="B108" s="30">
        <v>46223</v>
      </c>
      <c r="C108">
        <v>2224358</v>
      </c>
      <c r="D108" t="s">
        <v>417</v>
      </c>
      <c r="E108" t="s">
        <v>653</v>
      </c>
      <c r="F108" t="s">
        <v>655</v>
      </c>
      <c r="G108" t="s">
        <v>223</v>
      </c>
      <c r="H108" t="s">
        <v>641</v>
      </c>
      <c r="I108" t="s">
        <v>94</v>
      </c>
      <c r="J108">
        <v>300</v>
      </c>
      <c r="K108">
        <v>0</v>
      </c>
      <c r="L108">
        <v>0</v>
      </c>
      <c r="P108" t="s">
        <v>1810</v>
      </c>
    </row>
    <row r="109" spans="1:16">
      <c r="A109" s="29">
        <v>46224.222708333335</v>
      </c>
      <c r="B109" s="30">
        <v>46223</v>
      </c>
      <c r="C109">
        <v>2224358</v>
      </c>
      <c r="D109" t="s">
        <v>417</v>
      </c>
      <c r="E109" t="s">
        <v>653</v>
      </c>
      <c r="F109" t="s">
        <v>655</v>
      </c>
      <c r="G109" t="s">
        <v>223</v>
      </c>
      <c r="H109" t="s">
        <v>641</v>
      </c>
      <c r="I109" t="s">
        <v>94</v>
      </c>
      <c r="J109">
        <v>308</v>
      </c>
      <c r="K109">
        <v>2</v>
      </c>
      <c r="L109">
        <v>1.3333333333333333</v>
      </c>
      <c r="P109" t="s">
        <v>1810</v>
      </c>
    </row>
    <row r="110" spans="1:16">
      <c r="A110" s="29">
        <v>46224.222708333335</v>
      </c>
      <c r="B110" s="30">
        <v>46223</v>
      </c>
      <c r="C110">
        <v>2224358</v>
      </c>
      <c r="D110" t="s">
        <v>417</v>
      </c>
      <c r="E110" t="s">
        <v>653</v>
      </c>
      <c r="F110" t="s">
        <v>655</v>
      </c>
      <c r="G110" t="s">
        <v>223</v>
      </c>
      <c r="H110" t="s">
        <v>641</v>
      </c>
      <c r="I110" t="s">
        <v>94</v>
      </c>
      <c r="J110" t="s">
        <v>456</v>
      </c>
      <c r="K110">
        <v>2</v>
      </c>
      <c r="L110">
        <v>1.3333333333333333</v>
      </c>
      <c r="M110">
        <v>1</v>
      </c>
      <c r="N110">
        <v>1</v>
      </c>
      <c r="P110" t="s">
        <v>1810</v>
      </c>
    </row>
    <row r="111" spans="1:16">
      <c r="A111" s="29">
        <v>46224.229166666664</v>
      </c>
      <c r="B111" s="30">
        <v>46223</v>
      </c>
      <c r="C111">
        <v>2222785</v>
      </c>
      <c r="D111" t="s">
        <v>399</v>
      </c>
      <c r="E111" t="s">
        <v>653</v>
      </c>
      <c r="F111" t="s">
        <v>655</v>
      </c>
      <c r="G111" t="s">
        <v>222</v>
      </c>
      <c r="H111" t="s">
        <v>641</v>
      </c>
      <c r="I111" t="s">
        <v>98</v>
      </c>
      <c r="J111">
        <v>300</v>
      </c>
      <c r="K111">
        <v>0</v>
      </c>
      <c r="L111">
        <v>0</v>
      </c>
      <c r="P111" t="s">
        <v>1812</v>
      </c>
    </row>
    <row r="112" spans="1:16">
      <c r="A112" s="29">
        <v>46224.229166666664</v>
      </c>
      <c r="B112" s="30">
        <v>46223</v>
      </c>
      <c r="C112">
        <v>2222785</v>
      </c>
      <c r="D112" t="s">
        <v>399</v>
      </c>
      <c r="E112" t="s">
        <v>653</v>
      </c>
      <c r="F112" t="s">
        <v>655</v>
      </c>
      <c r="G112" t="s">
        <v>222</v>
      </c>
      <c r="H112" t="s">
        <v>641</v>
      </c>
      <c r="I112" t="s">
        <v>98</v>
      </c>
      <c r="J112">
        <v>308</v>
      </c>
      <c r="K112">
        <v>0</v>
      </c>
      <c r="L112">
        <v>0</v>
      </c>
      <c r="P112" t="s">
        <v>1812</v>
      </c>
    </row>
    <row r="113" spans="1:16">
      <c r="A113" s="29">
        <v>46224.452372685184</v>
      </c>
      <c r="B113" s="30">
        <v>46223</v>
      </c>
      <c r="C113">
        <v>2114273</v>
      </c>
      <c r="D113" t="s">
        <v>106</v>
      </c>
      <c r="E113" t="s">
        <v>653</v>
      </c>
      <c r="F113" t="s">
        <v>655</v>
      </c>
      <c r="G113" t="s">
        <v>224</v>
      </c>
      <c r="H113" t="s">
        <v>641</v>
      </c>
      <c r="I113" t="s">
        <v>83</v>
      </c>
      <c r="J113">
        <v>300</v>
      </c>
      <c r="K113">
        <v>1</v>
      </c>
      <c r="L113">
        <v>50</v>
      </c>
      <c r="P113" t="s">
        <v>1822</v>
      </c>
    </row>
    <row r="114" spans="1:16">
      <c r="A114" s="29">
        <v>46224.452372685184</v>
      </c>
      <c r="B114" s="30">
        <v>46223</v>
      </c>
      <c r="C114">
        <v>2114273</v>
      </c>
      <c r="D114" t="s">
        <v>106</v>
      </c>
      <c r="E114" t="s">
        <v>653</v>
      </c>
      <c r="F114" t="s">
        <v>655</v>
      </c>
      <c r="G114" t="s">
        <v>224</v>
      </c>
      <c r="H114" t="s">
        <v>641</v>
      </c>
      <c r="I114" t="s">
        <v>83</v>
      </c>
      <c r="J114" t="s">
        <v>443</v>
      </c>
      <c r="K114">
        <v>1</v>
      </c>
      <c r="L114">
        <v>50</v>
      </c>
      <c r="M114">
        <v>1</v>
      </c>
      <c r="N114">
        <v>1</v>
      </c>
      <c r="O114">
        <v>2</v>
      </c>
      <c r="P114" t="s">
        <v>1822</v>
      </c>
    </row>
    <row r="115" spans="1:16">
      <c r="A115" s="29">
        <v>46224.452372685184</v>
      </c>
      <c r="B115" s="30">
        <v>46223</v>
      </c>
      <c r="C115">
        <v>2114273</v>
      </c>
      <c r="D115" t="s">
        <v>106</v>
      </c>
      <c r="E115" t="s">
        <v>653</v>
      </c>
      <c r="F115" t="s">
        <v>655</v>
      </c>
      <c r="G115" t="s">
        <v>224</v>
      </c>
      <c r="H115" t="s">
        <v>641</v>
      </c>
      <c r="I115" t="s">
        <v>83</v>
      </c>
      <c r="J115">
        <v>308</v>
      </c>
      <c r="K115">
        <v>0</v>
      </c>
      <c r="L115">
        <v>0</v>
      </c>
      <c r="P115" t="s">
        <v>1822</v>
      </c>
    </row>
    <row r="116" spans="1:16">
      <c r="A116" s="29">
        <v>46224.514733796299</v>
      </c>
      <c r="B116" s="30">
        <v>46223</v>
      </c>
      <c r="C116">
        <v>2020390</v>
      </c>
      <c r="D116" t="s">
        <v>382</v>
      </c>
      <c r="E116" t="s">
        <v>653</v>
      </c>
      <c r="F116" t="s">
        <v>655</v>
      </c>
      <c r="G116" t="s">
        <v>228</v>
      </c>
      <c r="H116" t="s">
        <v>641</v>
      </c>
      <c r="I116" t="s">
        <v>88</v>
      </c>
      <c r="J116">
        <v>300</v>
      </c>
      <c r="K116">
        <v>0</v>
      </c>
      <c r="L116">
        <v>0</v>
      </c>
      <c r="P116" t="s">
        <v>1825</v>
      </c>
    </row>
    <row r="117" spans="1:16">
      <c r="A117" s="29">
        <v>46224.514733796299</v>
      </c>
      <c r="B117" s="30">
        <v>46223</v>
      </c>
      <c r="C117">
        <v>2020390</v>
      </c>
      <c r="D117" t="s">
        <v>382</v>
      </c>
      <c r="E117" t="s">
        <v>653</v>
      </c>
      <c r="F117" t="s">
        <v>655</v>
      </c>
      <c r="G117" t="s">
        <v>228</v>
      </c>
      <c r="H117" t="s">
        <v>641</v>
      </c>
      <c r="I117" t="s">
        <v>88</v>
      </c>
      <c r="J117">
        <v>308</v>
      </c>
      <c r="K117">
        <v>0</v>
      </c>
      <c r="L117">
        <v>0</v>
      </c>
      <c r="P117" t="s">
        <v>1825</v>
      </c>
    </row>
    <row r="118" spans="1:16">
      <c r="A118" s="29">
        <v>46224.516203703701</v>
      </c>
      <c r="B118" s="30">
        <v>46224</v>
      </c>
      <c r="C118">
        <v>2020390</v>
      </c>
      <c r="D118" t="s">
        <v>382</v>
      </c>
      <c r="E118" t="s">
        <v>653</v>
      </c>
      <c r="F118" t="s">
        <v>655</v>
      </c>
      <c r="G118" t="s">
        <v>228</v>
      </c>
      <c r="H118" t="s">
        <v>641</v>
      </c>
      <c r="I118" t="s">
        <v>88</v>
      </c>
      <c r="J118">
        <v>300</v>
      </c>
      <c r="K118">
        <v>0</v>
      </c>
      <c r="L118">
        <v>0</v>
      </c>
      <c r="P118" t="s">
        <v>1826</v>
      </c>
    </row>
    <row r="119" spans="1:16">
      <c r="A119" s="29">
        <v>46224.516203703701</v>
      </c>
      <c r="B119" s="30">
        <v>46224</v>
      </c>
      <c r="C119">
        <v>2020390</v>
      </c>
      <c r="D119" t="s">
        <v>382</v>
      </c>
      <c r="E119" t="s">
        <v>653</v>
      </c>
      <c r="F119" t="s">
        <v>655</v>
      </c>
      <c r="G119" t="s">
        <v>228</v>
      </c>
      <c r="H119" t="s">
        <v>641</v>
      </c>
      <c r="I119" t="s">
        <v>88</v>
      </c>
      <c r="J119">
        <v>308</v>
      </c>
      <c r="K119">
        <v>0</v>
      </c>
      <c r="L119">
        <v>0</v>
      </c>
      <c r="P119" t="s">
        <v>1826</v>
      </c>
    </row>
    <row r="120" spans="1:16">
      <c r="A120" s="29">
        <v>46224.519791666666</v>
      </c>
      <c r="B120" s="30">
        <v>46224</v>
      </c>
      <c r="C120">
        <v>2241656</v>
      </c>
      <c r="D120" t="s">
        <v>409</v>
      </c>
      <c r="E120" t="s">
        <v>653</v>
      </c>
      <c r="F120" t="s">
        <v>655</v>
      </c>
      <c r="G120" t="s">
        <v>268</v>
      </c>
      <c r="H120" t="s">
        <v>641</v>
      </c>
      <c r="I120" t="s">
        <v>95</v>
      </c>
      <c r="J120">
        <v>300</v>
      </c>
      <c r="K120">
        <v>0</v>
      </c>
      <c r="L120">
        <v>0</v>
      </c>
      <c r="P120" t="s">
        <v>1827</v>
      </c>
    </row>
    <row r="121" spans="1:16">
      <c r="A121" s="29">
        <v>46224.519791666666</v>
      </c>
      <c r="B121" s="30">
        <v>46224</v>
      </c>
      <c r="C121">
        <v>2241656</v>
      </c>
      <c r="D121" t="s">
        <v>409</v>
      </c>
      <c r="E121" t="s">
        <v>653</v>
      </c>
      <c r="F121" t="s">
        <v>655</v>
      </c>
      <c r="G121" t="s">
        <v>268</v>
      </c>
      <c r="H121" t="s">
        <v>641</v>
      </c>
      <c r="I121" t="s">
        <v>95</v>
      </c>
      <c r="J121">
        <v>308</v>
      </c>
      <c r="K121">
        <v>0</v>
      </c>
      <c r="L121">
        <v>0</v>
      </c>
      <c r="P121" t="s">
        <v>1827</v>
      </c>
    </row>
    <row r="122" spans="1:16">
      <c r="A122" s="29">
        <v>46224.525416666664</v>
      </c>
      <c r="B122" s="30">
        <v>46224</v>
      </c>
      <c r="C122">
        <v>2222332</v>
      </c>
      <c r="D122" t="s">
        <v>406</v>
      </c>
      <c r="E122" t="s">
        <v>659</v>
      </c>
      <c r="F122" t="s">
        <v>655</v>
      </c>
      <c r="G122" t="s">
        <v>1285</v>
      </c>
      <c r="H122" t="s">
        <v>641</v>
      </c>
      <c r="I122" t="s">
        <v>99</v>
      </c>
      <c r="J122">
        <v>300</v>
      </c>
      <c r="K122">
        <v>0</v>
      </c>
      <c r="L122">
        <v>0</v>
      </c>
      <c r="P122" t="s">
        <v>1829</v>
      </c>
    </row>
    <row r="123" spans="1:16">
      <c r="A123" s="29">
        <v>46224.525416666664</v>
      </c>
      <c r="B123" s="30">
        <v>46224</v>
      </c>
      <c r="C123">
        <v>2222332</v>
      </c>
      <c r="D123" t="s">
        <v>406</v>
      </c>
      <c r="E123" t="s">
        <v>659</v>
      </c>
      <c r="F123" t="s">
        <v>655</v>
      </c>
      <c r="G123" t="s">
        <v>1285</v>
      </c>
      <c r="H123" t="s">
        <v>641</v>
      </c>
      <c r="I123" t="s">
        <v>99</v>
      </c>
      <c r="J123">
        <v>308</v>
      </c>
      <c r="K123">
        <v>0</v>
      </c>
      <c r="L123">
        <v>0</v>
      </c>
      <c r="P123" t="s">
        <v>1829</v>
      </c>
    </row>
    <row r="124" spans="1:16">
      <c r="A124" s="29">
        <v>46224.651712962965</v>
      </c>
      <c r="B124" s="30">
        <v>46224</v>
      </c>
      <c r="C124">
        <v>2114273</v>
      </c>
      <c r="D124" t="s">
        <v>106</v>
      </c>
      <c r="E124" t="s">
        <v>659</v>
      </c>
      <c r="F124" t="s">
        <v>655</v>
      </c>
      <c r="H124" t="s">
        <v>641</v>
      </c>
      <c r="I124" t="s">
        <v>80</v>
      </c>
      <c r="J124">
        <v>300</v>
      </c>
      <c r="K124">
        <v>0</v>
      </c>
      <c r="L124">
        <v>0</v>
      </c>
      <c r="P124" t="s">
        <v>1835</v>
      </c>
    </row>
    <row r="125" spans="1:16">
      <c r="A125" s="29">
        <v>46224.651712962965</v>
      </c>
      <c r="B125" s="30">
        <v>46224</v>
      </c>
      <c r="C125">
        <v>2114273</v>
      </c>
      <c r="D125" t="s">
        <v>106</v>
      </c>
      <c r="E125" t="s">
        <v>659</v>
      </c>
      <c r="F125" t="s">
        <v>655</v>
      </c>
      <c r="H125" t="s">
        <v>641</v>
      </c>
      <c r="I125" t="s">
        <v>80</v>
      </c>
      <c r="J125">
        <v>308</v>
      </c>
      <c r="K125">
        <v>0</v>
      </c>
      <c r="L125">
        <v>0</v>
      </c>
      <c r="P125" t="s">
        <v>1835</v>
      </c>
    </row>
    <row r="126" spans="1:16">
      <c r="A126" s="29"/>
      <c r="B126" s="30"/>
    </row>
    <row r="127" spans="1:16">
      <c r="A127" s="29"/>
      <c r="B127" s="30"/>
    </row>
    <row r="128" spans="1:16">
      <c r="A128" s="29"/>
      <c r="B128" s="30"/>
    </row>
    <row r="129" spans="1:2">
      <c r="A129" s="29"/>
      <c r="B129" s="30"/>
    </row>
    <row r="130" spans="1:2">
      <c r="A130" s="29"/>
      <c r="B130" s="30"/>
    </row>
    <row r="131" spans="1:2">
      <c r="A131" s="29"/>
      <c r="B131" s="30"/>
    </row>
    <row r="132" spans="1:2">
      <c r="A132" s="29"/>
      <c r="B132" s="30"/>
    </row>
    <row r="133" spans="1:2">
      <c r="A133" s="29"/>
      <c r="B133" s="30"/>
    </row>
    <row r="134" spans="1:2">
      <c r="A134" s="29"/>
      <c r="B134" s="30"/>
    </row>
    <row r="135" spans="1:2">
      <c r="A135" s="29"/>
      <c r="B135" s="30"/>
    </row>
    <row r="136" spans="1:2">
      <c r="A136" s="29"/>
      <c r="B136" s="30"/>
    </row>
    <row r="137" spans="1:2">
      <c r="A137" s="29"/>
      <c r="B137" s="30"/>
    </row>
    <row r="138" spans="1:2">
      <c r="A138" s="29"/>
      <c r="B138" s="30"/>
    </row>
    <row r="139" spans="1:2">
      <c r="A139" s="29"/>
      <c r="B139" s="30"/>
    </row>
    <row r="140" spans="1:2">
      <c r="A140" s="29"/>
      <c r="B140" s="30"/>
    </row>
    <row r="141" spans="1:2">
      <c r="A141" s="29"/>
      <c r="B141" s="30"/>
    </row>
    <row r="142" spans="1:2">
      <c r="A142" s="29"/>
      <c r="B142" s="30"/>
    </row>
    <row r="143" spans="1:2">
      <c r="A143" s="29"/>
      <c r="B143" s="30"/>
    </row>
    <row r="144" spans="1:2">
      <c r="A144" s="29"/>
      <c r="B144" s="30"/>
    </row>
    <row r="145" spans="1:2">
      <c r="A145" s="29"/>
      <c r="B145" s="30"/>
    </row>
    <row r="146" spans="1:2">
      <c r="A146" s="29"/>
      <c r="B146" s="30"/>
    </row>
    <row r="147" spans="1:2">
      <c r="A147" s="29"/>
      <c r="B147" s="30"/>
    </row>
    <row r="148" spans="1:2">
      <c r="A148" s="29"/>
      <c r="B148" s="30"/>
    </row>
    <row r="149" spans="1:2">
      <c r="A149" s="29"/>
      <c r="B149" s="30"/>
    </row>
    <row r="150" spans="1:2">
      <c r="A150" s="29"/>
      <c r="B150" s="30"/>
    </row>
    <row r="151" spans="1:2">
      <c r="A151" s="29"/>
      <c r="B151" s="30"/>
    </row>
    <row r="152" spans="1:2">
      <c r="A152" s="29"/>
      <c r="B152" s="30"/>
    </row>
    <row r="153" spans="1:2">
      <c r="A153" s="29"/>
      <c r="B153" s="30"/>
    </row>
    <row r="154" spans="1:2">
      <c r="A154" s="29"/>
      <c r="B154" s="30"/>
    </row>
    <row r="155" spans="1:2">
      <c r="A155" s="29"/>
      <c r="B155" s="30"/>
    </row>
    <row r="156" spans="1:2">
      <c r="A156" s="29"/>
      <c r="B156" s="30"/>
    </row>
    <row r="157" spans="1:2">
      <c r="A157" s="29"/>
      <c r="B157" s="30"/>
    </row>
    <row r="158" spans="1:2">
      <c r="A158" s="29"/>
      <c r="B158" s="30"/>
    </row>
    <row r="159" spans="1:2">
      <c r="A159" s="29"/>
      <c r="B159" s="30"/>
    </row>
    <row r="160" spans="1:2">
      <c r="A160" s="29"/>
      <c r="B160" s="30"/>
    </row>
    <row r="161" spans="1:2">
      <c r="A161" s="29"/>
      <c r="B161" s="30"/>
    </row>
    <row r="162" spans="1:2">
      <c r="A162" s="29"/>
      <c r="B162" s="30"/>
    </row>
    <row r="163" spans="1:2">
      <c r="A163" s="29"/>
      <c r="B163" s="30"/>
    </row>
    <row r="164" spans="1:2">
      <c r="A164" s="29"/>
      <c r="B164" s="30"/>
    </row>
    <row r="165" spans="1:2">
      <c r="A165" s="29"/>
      <c r="B165" s="30"/>
    </row>
    <row r="166" spans="1:2">
      <c r="A166" s="29"/>
      <c r="B166" s="30"/>
    </row>
    <row r="167" spans="1:2">
      <c r="A167" s="29"/>
      <c r="B167" s="30"/>
    </row>
    <row r="168" spans="1:2">
      <c r="A168" s="29"/>
      <c r="B168" s="30"/>
    </row>
    <row r="169" spans="1:2">
      <c r="A169" s="29"/>
      <c r="B169" s="30"/>
    </row>
    <row r="170" spans="1:2">
      <c r="A170" s="29"/>
      <c r="B170" s="30"/>
    </row>
    <row r="171" spans="1:2">
      <c r="A171" s="29"/>
      <c r="B171" s="30"/>
    </row>
    <row r="172" spans="1:2">
      <c r="A172" s="29"/>
      <c r="B172" s="30"/>
    </row>
    <row r="173" spans="1:2">
      <c r="A173" s="29"/>
      <c r="B173" s="30"/>
    </row>
    <row r="174" spans="1:2">
      <c r="A174" s="29"/>
      <c r="B174" s="30"/>
    </row>
    <row r="175" spans="1:2">
      <c r="A175" s="29"/>
      <c r="B175" s="30"/>
    </row>
    <row r="176" spans="1:2">
      <c r="A176" s="29"/>
      <c r="B176" s="30"/>
    </row>
    <row r="177" spans="1:2">
      <c r="A177" s="29"/>
      <c r="B177" s="30"/>
    </row>
    <row r="178" spans="1:2">
      <c r="A178" s="29"/>
      <c r="B178" s="30"/>
    </row>
    <row r="179" spans="1:2">
      <c r="A179" s="29"/>
      <c r="B179" s="30"/>
    </row>
    <row r="180" spans="1:2">
      <c r="A180" s="29"/>
      <c r="B180" s="30"/>
    </row>
    <row r="181" spans="1:2">
      <c r="A181" s="29"/>
      <c r="B181" s="30"/>
    </row>
    <row r="182" spans="1:2">
      <c r="A182" s="29"/>
      <c r="B182" s="30"/>
    </row>
    <row r="183" spans="1:2">
      <c r="A183" s="29"/>
      <c r="B183" s="30"/>
    </row>
    <row r="184" spans="1:2">
      <c r="A184" s="29"/>
      <c r="B184" s="30"/>
    </row>
    <row r="185" spans="1:2">
      <c r="A185" s="29"/>
      <c r="B185" s="30"/>
    </row>
    <row r="186" spans="1:2">
      <c r="A186" s="29"/>
      <c r="B186" s="30"/>
    </row>
    <row r="187" spans="1:2">
      <c r="A187" s="29"/>
      <c r="B187" s="30"/>
    </row>
    <row r="188" spans="1:2">
      <c r="A188" s="29"/>
      <c r="B188" s="30"/>
    </row>
    <row r="189" spans="1:2">
      <c r="A189" s="29"/>
      <c r="B189" s="30"/>
    </row>
    <row r="190" spans="1:2">
      <c r="A190" s="29"/>
      <c r="B190" s="30"/>
    </row>
    <row r="191" spans="1:2">
      <c r="A191" s="29"/>
      <c r="B191" s="30"/>
    </row>
    <row r="192" spans="1:2">
      <c r="A192" s="29"/>
      <c r="B192" s="30"/>
    </row>
    <row r="193" spans="1:2">
      <c r="A193" s="29"/>
      <c r="B193" s="30"/>
    </row>
    <row r="194" spans="1:2">
      <c r="A194" s="29"/>
      <c r="B194" s="30"/>
    </row>
    <row r="195" spans="1:2">
      <c r="A195" s="29"/>
      <c r="B195" s="30"/>
    </row>
    <row r="196" spans="1:2">
      <c r="A196" s="29"/>
      <c r="B196" s="30"/>
    </row>
    <row r="197" spans="1:2">
      <c r="A197" s="29"/>
      <c r="B197" s="30"/>
    </row>
    <row r="198" spans="1:2">
      <c r="A198" s="29"/>
      <c r="B198" s="30"/>
    </row>
    <row r="199" spans="1:2">
      <c r="A199" s="29"/>
      <c r="B199" s="30"/>
    </row>
    <row r="200" spans="1:2">
      <c r="A200" s="29"/>
      <c r="B200" s="30"/>
    </row>
    <row r="201" spans="1:2">
      <c r="A201" s="29"/>
      <c r="B201" s="30"/>
    </row>
    <row r="202" spans="1:2">
      <c r="A202" s="29"/>
      <c r="B202" s="30"/>
    </row>
    <row r="203" spans="1:2">
      <c r="A203" s="29"/>
      <c r="B203" s="30"/>
    </row>
    <row r="204" spans="1:2">
      <c r="A204" s="29"/>
      <c r="B204" s="30"/>
    </row>
    <row r="205" spans="1:2">
      <c r="A205" s="29"/>
      <c r="B205" s="30"/>
    </row>
    <row r="206" spans="1:2">
      <c r="A206" s="29"/>
      <c r="B206" s="30"/>
    </row>
    <row r="207" spans="1:2">
      <c r="A207" s="29"/>
      <c r="B207" s="30"/>
    </row>
    <row r="208" spans="1:2">
      <c r="A208" s="29"/>
      <c r="B208" s="30"/>
    </row>
    <row r="209" spans="1:2">
      <c r="A209" s="29"/>
      <c r="B209" s="30"/>
    </row>
    <row r="210" spans="1:2">
      <c r="A210" s="29"/>
      <c r="B210" s="30"/>
    </row>
    <row r="211" spans="1:2">
      <c r="A211" s="29"/>
      <c r="B211" s="30"/>
    </row>
    <row r="212" spans="1:2">
      <c r="A212" s="29"/>
      <c r="B212" s="30"/>
    </row>
    <row r="213" spans="1:2">
      <c r="A213" s="29"/>
      <c r="B213" s="30"/>
    </row>
    <row r="214" spans="1:2">
      <c r="A214" s="29"/>
      <c r="B214" s="30"/>
    </row>
    <row r="215" spans="1:2">
      <c r="A215" s="29"/>
      <c r="B215" s="30"/>
    </row>
    <row r="216" spans="1:2">
      <c r="A216" s="29"/>
      <c r="B216" s="30"/>
    </row>
    <row r="217" spans="1:2">
      <c r="A217" s="29"/>
      <c r="B217" s="30"/>
    </row>
    <row r="218" spans="1:2">
      <c r="A218" s="29"/>
      <c r="B218" s="30"/>
    </row>
    <row r="219" spans="1:2">
      <c r="A219" s="29"/>
      <c r="B219" s="30"/>
    </row>
    <row r="220" spans="1:2">
      <c r="A220" s="29"/>
      <c r="B220" s="30"/>
    </row>
    <row r="221" spans="1:2">
      <c r="A221" s="29"/>
      <c r="B221" s="30"/>
    </row>
    <row r="222" spans="1:2">
      <c r="A222" s="29"/>
      <c r="B222" s="30"/>
    </row>
    <row r="223" spans="1:2">
      <c r="A223" s="29"/>
      <c r="B223" s="30"/>
    </row>
    <row r="224" spans="1:2">
      <c r="A224" s="29"/>
      <c r="B224" s="30"/>
    </row>
    <row r="225" spans="1:2">
      <c r="A225" s="29"/>
      <c r="B225" s="30"/>
    </row>
    <row r="226" spans="1:2">
      <c r="A226" s="29"/>
      <c r="B226" s="30"/>
    </row>
    <row r="227" spans="1:2">
      <c r="A227" s="29"/>
      <c r="B227" s="30"/>
    </row>
    <row r="228" spans="1:2">
      <c r="A228" s="29"/>
      <c r="B228" s="30"/>
    </row>
    <row r="229" spans="1:2">
      <c r="A229" s="29"/>
      <c r="B229" s="30"/>
    </row>
    <row r="230" spans="1:2">
      <c r="A230" s="29"/>
      <c r="B230" s="30"/>
    </row>
    <row r="231" spans="1:2">
      <c r="A231" s="29"/>
      <c r="B231" s="30"/>
    </row>
    <row r="232" spans="1:2">
      <c r="A232" s="29"/>
      <c r="B232" s="30"/>
    </row>
    <row r="233" spans="1:2">
      <c r="A233" s="29"/>
      <c r="B233" s="30"/>
    </row>
    <row r="234" spans="1:2">
      <c r="A234" s="29"/>
      <c r="B234" s="30"/>
    </row>
    <row r="235" spans="1:2">
      <c r="A235" s="29"/>
      <c r="B235" s="30"/>
    </row>
    <row r="236" spans="1:2">
      <c r="A236" s="29"/>
      <c r="B236" s="30"/>
    </row>
    <row r="237" spans="1:2">
      <c r="A237" s="29"/>
      <c r="B237" s="30"/>
    </row>
    <row r="238" spans="1:2">
      <c r="A238" s="29"/>
      <c r="B238" s="30"/>
    </row>
    <row r="239" spans="1:2">
      <c r="A239" s="29"/>
      <c r="B239" s="30"/>
    </row>
    <row r="240" spans="1:2">
      <c r="A240" s="29"/>
      <c r="B240" s="30"/>
    </row>
    <row r="241" spans="1:2">
      <c r="A241" s="29"/>
      <c r="B241" s="30"/>
    </row>
    <row r="242" spans="1:2">
      <c r="A242" s="29"/>
      <c r="B242" s="30"/>
    </row>
    <row r="243" spans="1:2">
      <c r="A243" s="29"/>
      <c r="B243" s="30"/>
    </row>
    <row r="244" spans="1:2">
      <c r="A244" s="29"/>
      <c r="B244" s="30"/>
    </row>
    <row r="245" spans="1:2">
      <c r="A245" s="29"/>
      <c r="B245" s="30"/>
    </row>
    <row r="246" spans="1:2">
      <c r="A246" s="29"/>
      <c r="B246" s="30"/>
    </row>
    <row r="247" spans="1:2">
      <c r="A247" s="29"/>
      <c r="B247" s="30"/>
    </row>
    <row r="248" spans="1:2">
      <c r="A248" s="29"/>
      <c r="B248" s="30"/>
    </row>
    <row r="249" spans="1:2">
      <c r="A249" s="29"/>
      <c r="B249" s="30"/>
    </row>
    <row r="250" spans="1:2">
      <c r="A250" s="29"/>
      <c r="B250" s="30"/>
    </row>
    <row r="251" spans="1:2">
      <c r="A251" s="29"/>
      <c r="B251" s="30"/>
    </row>
    <row r="252" spans="1:2">
      <c r="A252" s="29"/>
      <c r="B252" s="30"/>
    </row>
    <row r="253" spans="1:2">
      <c r="A253" s="29"/>
      <c r="B253" s="30"/>
    </row>
    <row r="254" spans="1:2">
      <c r="A254" s="29"/>
      <c r="B254" s="30"/>
    </row>
    <row r="255" spans="1:2">
      <c r="A255" s="29"/>
      <c r="B255" s="30"/>
    </row>
    <row r="256" spans="1:2">
      <c r="A256" s="29"/>
      <c r="B256" s="30"/>
    </row>
    <row r="257" spans="1:2">
      <c r="A257" s="29"/>
      <c r="B257" s="30"/>
    </row>
    <row r="258" spans="1:2">
      <c r="A258" s="29"/>
      <c r="B258" s="30"/>
    </row>
    <row r="259" spans="1:2">
      <c r="A259" s="29"/>
      <c r="B259" s="30"/>
    </row>
    <row r="260" spans="1:2">
      <c r="A260" s="29"/>
      <c r="B260" s="30"/>
    </row>
    <row r="261" spans="1:2">
      <c r="A261" s="29"/>
      <c r="B261" s="30"/>
    </row>
    <row r="262" spans="1:2">
      <c r="A262" s="29"/>
      <c r="B262" s="30"/>
    </row>
    <row r="263" spans="1:2">
      <c r="A263" s="29"/>
      <c r="B263" s="30"/>
    </row>
    <row r="264" spans="1:2">
      <c r="A264" s="29"/>
      <c r="B264" s="30"/>
    </row>
    <row r="265" spans="1:2">
      <c r="A265" s="29"/>
      <c r="B265" s="30"/>
    </row>
    <row r="266" spans="1:2">
      <c r="A266" s="29"/>
      <c r="B266" s="30"/>
    </row>
    <row r="267" spans="1:2">
      <c r="A267" s="29"/>
      <c r="B267" s="30"/>
    </row>
    <row r="268" spans="1:2">
      <c r="A268" s="29"/>
      <c r="B268" s="30"/>
    </row>
    <row r="269" spans="1:2">
      <c r="A269" s="29"/>
      <c r="B269" s="30"/>
    </row>
    <row r="270" spans="1:2">
      <c r="A270" s="29"/>
      <c r="B270" s="30"/>
    </row>
    <row r="271" spans="1:2">
      <c r="A271" s="29"/>
      <c r="B271" s="30"/>
    </row>
    <row r="272" spans="1:2">
      <c r="A272" s="29"/>
      <c r="B272" s="30"/>
    </row>
    <row r="273" spans="1:2">
      <c r="A273" s="29"/>
      <c r="B273" s="30"/>
    </row>
    <row r="274" spans="1:2">
      <c r="A274" s="29"/>
      <c r="B274" s="30"/>
    </row>
    <row r="275" spans="1:2">
      <c r="A275" s="29"/>
      <c r="B275" s="30"/>
    </row>
    <row r="276" spans="1:2">
      <c r="A276" s="29"/>
      <c r="B276" s="30"/>
    </row>
    <row r="277" spans="1:2">
      <c r="A277" s="29"/>
      <c r="B277" s="30"/>
    </row>
    <row r="278" spans="1:2">
      <c r="A278" s="29"/>
      <c r="B278" s="30"/>
    </row>
    <row r="279" spans="1:2">
      <c r="A279" s="29"/>
      <c r="B279" s="30"/>
    </row>
    <row r="280" spans="1:2">
      <c r="A280" s="29"/>
      <c r="B280" s="30"/>
    </row>
    <row r="281" spans="1:2">
      <c r="A281" s="29"/>
      <c r="B281" s="30"/>
    </row>
    <row r="282" spans="1:2">
      <c r="A282" s="29"/>
      <c r="B282" s="30"/>
    </row>
    <row r="283" spans="1:2">
      <c r="A283" s="29"/>
      <c r="B283" s="30"/>
    </row>
    <row r="284" spans="1:2">
      <c r="A284" s="29"/>
      <c r="B284" s="30"/>
    </row>
    <row r="285" spans="1:2">
      <c r="A285" s="29"/>
      <c r="B285" s="30"/>
    </row>
    <row r="286" spans="1:2">
      <c r="A286" s="29"/>
      <c r="B286" s="30"/>
    </row>
    <row r="287" spans="1:2">
      <c r="A287" s="29"/>
      <c r="B287" s="30"/>
    </row>
    <row r="288" spans="1:2">
      <c r="A288" s="29"/>
      <c r="B288" s="30"/>
    </row>
    <row r="289" spans="1:2">
      <c r="A289" s="29"/>
      <c r="B289" s="30"/>
    </row>
    <row r="290" spans="1:2">
      <c r="A290" s="29"/>
      <c r="B290" s="30"/>
    </row>
    <row r="291" spans="1:2">
      <c r="A291" s="29"/>
      <c r="B291" s="30"/>
    </row>
    <row r="292" spans="1:2">
      <c r="A292" s="29"/>
      <c r="B292" s="30"/>
    </row>
    <row r="293" spans="1:2">
      <c r="A293" s="29"/>
      <c r="B293" s="30"/>
    </row>
    <row r="294" spans="1:2">
      <c r="A294" s="29"/>
      <c r="B294" s="30"/>
    </row>
    <row r="295" spans="1:2">
      <c r="A295" s="29"/>
      <c r="B295" s="30"/>
    </row>
    <row r="296" spans="1:2">
      <c r="A296" s="29"/>
      <c r="B296" s="30"/>
    </row>
    <row r="297" spans="1:2">
      <c r="A297" s="29"/>
      <c r="B297" s="30"/>
    </row>
    <row r="298" spans="1:2">
      <c r="A298" s="29"/>
      <c r="B298" s="30"/>
    </row>
    <row r="299" spans="1:2">
      <c r="A299" s="29"/>
      <c r="B299" s="30"/>
    </row>
    <row r="300" spans="1:2">
      <c r="A300" s="29"/>
      <c r="B300" s="30"/>
    </row>
    <row r="301" spans="1:2">
      <c r="A301" s="29"/>
      <c r="B301" s="30"/>
    </row>
    <row r="302" spans="1:2">
      <c r="A302" s="29"/>
      <c r="B302" s="30"/>
    </row>
    <row r="303" spans="1:2">
      <c r="A303" s="29"/>
      <c r="B303" s="30"/>
    </row>
    <row r="304" spans="1:2">
      <c r="A304" s="29"/>
      <c r="B304" s="30"/>
    </row>
    <row r="305" spans="1:2">
      <c r="A305" s="29"/>
      <c r="B305" s="30"/>
    </row>
    <row r="306" spans="1:2">
      <c r="A306" s="29"/>
      <c r="B306" s="30"/>
    </row>
    <row r="307" spans="1:2">
      <c r="A307" s="29"/>
      <c r="B307" s="30"/>
    </row>
    <row r="308" spans="1:2">
      <c r="A308" s="29"/>
      <c r="B308" s="30"/>
    </row>
    <row r="309" spans="1:2">
      <c r="A309" s="29"/>
      <c r="B309" s="30"/>
    </row>
    <row r="310" spans="1:2">
      <c r="A310" s="29"/>
      <c r="B310" s="30"/>
    </row>
    <row r="311" spans="1:2">
      <c r="A311" s="29"/>
      <c r="B311" s="30"/>
    </row>
    <row r="312" spans="1:2">
      <c r="A312" s="29"/>
      <c r="B312" s="30"/>
    </row>
    <row r="313" spans="1:2">
      <c r="A313" s="29"/>
      <c r="B313" s="30"/>
    </row>
    <row r="314" spans="1:2">
      <c r="A314" s="29"/>
      <c r="B314" s="30"/>
    </row>
    <row r="315" spans="1:2">
      <c r="A315" s="29"/>
      <c r="B315" s="30"/>
    </row>
    <row r="316" spans="1:2">
      <c r="A316" s="29"/>
      <c r="B316" s="30"/>
    </row>
    <row r="317" spans="1:2">
      <c r="A317" s="29"/>
      <c r="B317" s="30"/>
    </row>
    <row r="318" spans="1:2">
      <c r="A318" s="29"/>
      <c r="B318" s="30"/>
    </row>
    <row r="319" spans="1:2">
      <c r="A319" s="29"/>
      <c r="B319" s="30"/>
    </row>
    <row r="320" spans="1:2">
      <c r="A320" s="29"/>
      <c r="B320" s="30"/>
    </row>
    <row r="321" spans="1:2">
      <c r="A321" s="29"/>
      <c r="B321" s="30"/>
    </row>
    <row r="322" spans="1:2">
      <c r="A322" s="29"/>
      <c r="B322" s="30"/>
    </row>
    <row r="323" spans="1:2">
      <c r="A323" s="29"/>
      <c r="B323" s="30"/>
    </row>
    <row r="324" spans="1:2">
      <c r="A324" s="29"/>
      <c r="B324" s="30"/>
    </row>
    <row r="325" spans="1:2">
      <c r="A325" s="29"/>
      <c r="B325" s="30"/>
    </row>
    <row r="326" spans="1:2">
      <c r="A326" s="29"/>
      <c r="B326" s="30"/>
    </row>
    <row r="327" spans="1:2">
      <c r="A327" s="29"/>
      <c r="B327" s="30"/>
    </row>
    <row r="328" spans="1:2">
      <c r="A328" s="29"/>
      <c r="B328" s="30"/>
    </row>
    <row r="329" spans="1:2">
      <c r="A329" s="29"/>
      <c r="B329" s="30"/>
    </row>
    <row r="330" spans="1:2">
      <c r="A330" s="29"/>
      <c r="B330" s="30"/>
    </row>
    <row r="331" spans="1:2">
      <c r="A331" s="29"/>
      <c r="B331" s="30"/>
    </row>
    <row r="332" spans="1:2">
      <c r="A332" s="29"/>
      <c r="B332" s="30"/>
    </row>
    <row r="333" spans="1:2">
      <c r="A333" s="29"/>
      <c r="B333" s="30"/>
    </row>
    <row r="334" spans="1:2">
      <c r="A334" s="29"/>
      <c r="B334" s="30"/>
    </row>
    <row r="335" spans="1:2">
      <c r="A335" s="29"/>
      <c r="B335" s="30"/>
    </row>
    <row r="336" spans="1:2">
      <c r="A336" s="29"/>
      <c r="B336" s="30"/>
    </row>
    <row r="337" spans="1:2">
      <c r="A337" s="29"/>
      <c r="B337" s="30"/>
    </row>
    <row r="338" spans="1:2">
      <c r="A338" s="29"/>
      <c r="B338" s="30"/>
    </row>
    <row r="339" spans="1:2">
      <c r="A339" s="29"/>
      <c r="B339" s="30"/>
    </row>
    <row r="340" spans="1:2">
      <c r="A340" s="29"/>
      <c r="B340" s="30"/>
    </row>
    <row r="341" spans="1:2">
      <c r="A341" s="29"/>
      <c r="B341" s="30"/>
    </row>
    <row r="342" spans="1:2">
      <c r="A342" s="29"/>
      <c r="B342" s="30"/>
    </row>
    <row r="343" spans="1:2">
      <c r="A343" s="29"/>
      <c r="B343" s="30"/>
    </row>
    <row r="344" spans="1:2">
      <c r="A344" s="29"/>
      <c r="B344" s="30"/>
    </row>
    <row r="345" spans="1:2">
      <c r="A345" s="29"/>
      <c r="B345" s="30"/>
    </row>
    <row r="346" spans="1:2">
      <c r="A346" s="29"/>
      <c r="B346" s="30"/>
    </row>
    <row r="347" spans="1:2">
      <c r="A347" s="29"/>
      <c r="B347" s="30"/>
    </row>
    <row r="348" spans="1:2">
      <c r="A348" s="29"/>
      <c r="B348" s="30"/>
    </row>
    <row r="349" spans="1:2">
      <c r="A349" s="29"/>
      <c r="B349" s="30"/>
    </row>
    <row r="350" spans="1:2">
      <c r="A350" s="29"/>
      <c r="B350" s="30"/>
    </row>
    <row r="351" spans="1:2">
      <c r="A351" s="29"/>
      <c r="B351" s="30"/>
    </row>
    <row r="352" spans="1:2">
      <c r="A352" s="29"/>
      <c r="B352" s="30"/>
    </row>
    <row r="353" spans="1:2">
      <c r="A353" s="29"/>
      <c r="B353" s="30"/>
    </row>
    <row r="354" spans="1:2">
      <c r="A354" s="29"/>
      <c r="B354" s="30"/>
    </row>
    <row r="355" spans="1:2">
      <c r="A355" s="29"/>
      <c r="B355" s="30"/>
    </row>
    <row r="356" spans="1:2">
      <c r="A356" s="29"/>
      <c r="B356" s="30"/>
    </row>
    <row r="357" spans="1:2">
      <c r="A357" s="29"/>
      <c r="B357" s="30"/>
    </row>
    <row r="358" spans="1:2">
      <c r="A358" s="29"/>
      <c r="B358" s="30"/>
    </row>
    <row r="359" spans="1:2">
      <c r="A359" s="29"/>
      <c r="B359" s="30"/>
    </row>
    <row r="360" spans="1:2">
      <c r="A360" s="29"/>
      <c r="B360" s="30"/>
    </row>
    <row r="361" spans="1:2">
      <c r="A361" s="29"/>
      <c r="B361" s="30"/>
    </row>
    <row r="362" spans="1:2">
      <c r="A362" s="29"/>
      <c r="B362" s="30"/>
    </row>
    <row r="363" spans="1:2">
      <c r="A363" s="29"/>
      <c r="B363" s="30"/>
    </row>
    <row r="364" spans="1:2">
      <c r="A364" s="29"/>
      <c r="B364" s="30"/>
    </row>
    <row r="365" spans="1:2">
      <c r="A365" s="29"/>
      <c r="B365" s="30"/>
    </row>
    <row r="366" spans="1:2">
      <c r="A366" s="29"/>
      <c r="B366" s="30"/>
    </row>
    <row r="367" spans="1:2">
      <c r="A367" s="29"/>
      <c r="B367" s="30"/>
    </row>
    <row r="368" spans="1:2">
      <c r="A368" s="29"/>
      <c r="B368" s="30"/>
    </row>
    <row r="369" spans="1:2">
      <c r="A369" s="29"/>
      <c r="B369" s="30"/>
    </row>
    <row r="370" spans="1:2">
      <c r="A370" s="29"/>
      <c r="B370" s="30"/>
    </row>
    <row r="371" spans="1:2">
      <c r="A371" s="29"/>
      <c r="B371" s="30"/>
    </row>
    <row r="372" spans="1:2">
      <c r="A372" s="29"/>
      <c r="B372" s="30"/>
    </row>
    <row r="373" spans="1:2">
      <c r="A373" s="29"/>
      <c r="B373" s="30"/>
    </row>
    <row r="374" spans="1:2">
      <c r="A374" s="29"/>
      <c r="B374" s="30"/>
    </row>
    <row r="375" spans="1:2">
      <c r="A375" s="29"/>
      <c r="B375" s="30"/>
    </row>
    <row r="376" spans="1:2">
      <c r="A376" s="29"/>
      <c r="B376" s="30"/>
    </row>
    <row r="377" spans="1:2">
      <c r="A377" s="29"/>
      <c r="B377" s="30"/>
    </row>
    <row r="378" spans="1:2">
      <c r="A378" s="29"/>
      <c r="B378" s="30"/>
    </row>
    <row r="379" spans="1:2">
      <c r="A379" s="29"/>
      <c r="B379" s="30"/>
    </row>
    <row r="380" spans="1:2">
      <c r="A380" s="29"/>
      <c r="B380" s="30"/>
    </row>
    <row r="381" spans="1:2">
      <c r="A381" s="29"/>
      <c r="B381" s="30"/>
    </row>
    <row r="382" spans="1:2">
      <c r="A382" s="29"/>
      <c r="B382" s="30"/>
    </row>
    <row r="383" spans="1:2">
      <c r="A383" s="29"/>
      <c r="B383" s="30"/>
    </row>
    <row r="384" spans="1:2">
      <c r="A384" s="29"/>
      <c r="B384" s="30"/>
    </row>
    <row r="385" spans="1:2">
      <c r="A385" s="29"/>
      <c r="B385" s="30"/>
    </row>
    <row r="386" spans="1:2">
      <c r="A386" s="29"/>
      <c r="B386" s="30"/>
    </row>
    <row r="387" spans="1:2">
      <c r="A387" s="29"/>
      <c r="B387" s="30"/>
    </row>
    <row r="388" spans="1:2">
      <c r="A388" s="29"/>
      <c r="B388" s="30"/>
    </row>
    <row r="389" spans="1:2">
      <c r="A389" s="29"/>
      <c r="B389" s="30"/>
    </row>
    <row r="390" spans="1:2">
      <c r="A390" s="29"/>
      <c r="B390" s="30"/>
    </row>
    <row r="391" spans="1:2">
      <c r="A391" s="29"/>
      <c r="B391" s="30"/>
    </row>
    <row r="392" spans="1:2">
      <c r="A392" s="29"/>
      <c r="B392" s="30"/>
    </row>
    <row r="393" spans="1:2">
      <c r="A393" s="29"/>
      <c r="B393" s="30"/>
    </row>
    <row r="394" spans="1:2">
      <c r="A394" s="29"/>
      <c r="B394" s="30"/>
    </row>
    <row r="395" spans="1:2">
      <c r="A395" s="29"/>
      <c r="B395" s="30"/>
    </row>
    <row r="396" spans="1:2">
      <c r="A396" s="29"/>
      <c r="B396" s="30"/>
    </row>
    <row r="397" spans="1:2">
      <c r="A397" s="29"/>
      <c r="B397" s="30"/>
    </row>
    <row r="398" spans="1:2">
      <c r="A398" s="29"/>
      <c r="B398" s="30"/>
    </row>
    <row r="399" spans="1:2">
      <c r="A399" s="29"/>
      <c r="B399" s="30"/>
    </row>
    <row r="400" spans="1:2">
      <c r="A400" s="29"/>
      <c r="B400" s="30"/>
    </row>
    <row r="401" spans="1:2">
      <c r="A401" s="29"/>
      <c r="B401" s="30"/>
    </row>
    <row r="402" spans="1:2">
      <c r="A402" s="29"/>
      <c r="B402" s="30"/>
    </row>
    <row r="403" spans="1:2">
      <c r="A403" s="29"/>
      <c r="B403" s="30"/>
    </row>
    <row r="404" spans="1:2">
      <c r="A404" s="29"/>
      <c r="B404" s="30"/>
    </row>
    <row r="405" spans="1:2">
      <c r="A405" s="29"/>
      <c r="B405" s="30"/>
    </row>
    <row r="406" spans="1:2">
      <c r="A406" s="29"/>
      <c r="B406" s="30"/>
    </row>
    <row r="407" spans="1:2">
      <c r="A407" s="29"/>
      <c r="B407" s="30"/>
    </row>
    <row r="408" spans="1:2">
      <c r="A408" s="29"/>
      <c r="B408" s="30"/>
    </row>
    <row r="409" spans="1:2">
      <c r="A409" s="29"/>
      <c r="B409" s="30"/>
    </row>
    <row r="410" spans="1:2">
      <c r="A410" s="29"/>
      <c r="B410" s="30"/>
    </row>
    <row r="411" spans="1:2">
      <c r="A411" s="29"/>
      <c r="B411" s="30"/>
    </row>
    <row r="412" spans="1:2">
      <c r="A412" s="29"/>
      <c r="B412" s="30"/>
    </row>
    <row r="413" spans="1:2">
      <c r="A413" s="29"/>
      <c r="B413" s="30"/>
    </row>
    <row r="414" spans="1:2">
      <c r="A414" s="29"/>
      <c r="B414" s="30"/>
    </row>
    <row r="415" spans="1:2">
      <c r="A415" s="29"/>
      <c r="B415" s="30"/>
    </row>
    <row r="416" spans="1:2">
      <c r="A416" s="29"/>
      <c r="B416" s="30"/>
    </row>
    <row r="417" spans="1:2">
      <c r="A417" s="29"/>
      <c r="B417" s="30"/>
    </row>
    <row r="418" spans="1:2">
      <c r="A418" s="29"/>
      <c r="B418" s="30"/>
    </row>
    <row r="419" spans="1:2">
      <c r="A419" s="29"/>
      <c r="B419" s="30"/>
    </row>
    <row r="420" spans="1:2">
      <c r="A420" s="29"/>
      <c r="B420" s="30"/>
    </row>
    <row r="421" spans="1:2">
      <c r="A421" s="29"/>
      <c r="B421" s="30"/>
    </row>
    <row r="422" spans="1:2">
      <c r="A422" s="29"/>
      <c r="B422" s="30"/>
    </row>
    <row r="423" spans="1:2">
      <c r="A423" s="29"/>
      <c r="B423" s="30"/>
    </row>
    <row r="424" spans="1:2">
      <c r="A424" s="29"/>
      <c r="B424" s="30"/>
    </row>
    <row r="425" spans="1:2">
      <c r="A425" s="29"/>
      <c r="B425" s="30"/>
    </row>
    <row r="426" spans="1:2">
      <c r="A426" s="29"/>
      <c r="B426" s="30"/>
    </row>
    <row r="427" spans="1:2">
      <c r="A427" s="29"/>
      <c r="B427" s="30"/>
    </row>
    <row r="428" spans="1:2">
      <c r="A428" s="29"/>
      <c r="B428" s="30"/>
    </row>
    <row r="429" spans="1:2">
      <c r="A429" s="29"/>
      <c r="B429" s="30"/>
    </row>
    <row r="430" spans="1:2">
      <c r="A430" s="29"/>
      <c r="B430" s="30"/>
    </row>
    <row r="431" spans="1:2">
      <c r="A431" s="29"/>
      <c r="B431" s="30"/>
    </row>
    <row r="432" spans="1:2">
      <c r="A432" s="29"/>
      <c r="B432" s="30"/>
    </row>
    <row r="433" spans="1:2">
      <c r="A433" s="29"/>
      <c r="B433" s="30"/>
    </row>
    <row r="434" spans="1:2">
      <c r="A434" s="29"/>
      <c r="B434" s="30"/>
    </row>
    <row r="435" spans="1:2">
      <c r="A435" s="29"/>
      <c r="B435" s="30"/>
    </row>
    <row r="436" spans="1:2">
      <c r="A436" s="29"/>
      <c r="B436" s="30"/>
    </row>
    <row r="437" spans="1:2">
      <c r="A437" s="29"/>
      <c r="B437" s="30"/>
    </row>
    <row r="438" spans="1:2">
      <c r="A438" s="29"/>
      <c r="B438" s="30"/>
    </row>
    <row r="439" spans="1:2">
      <c r="A439" s="29"/>
      <c r="B439" s="30"/>
    </row>
    <row r="440" spans="1:2">
      <c r="A440" s="29"/>
      <c r="B440" s="30"/>
    </row>
    <row r="441" spans="1:2">
      <c r="A441" s="29"/>
      <c r="B441" s="30"/>
    </row>
    <row r="442" spans="1:2">
      <c r="A442" s="29"/>
      <c r="B442" s="30"/>
    </row>
    <row r="443" spans="1:2">
      <c r="A443" s="29"/>
      <c r="B443" s="30"/>
    </row>
    <row r="444" spans="1:2">
      <c r="A444" s="29"/>
      <c r="B444" s="30"/>
    </row>
    <row r="445" spans="1:2">
      <c r="A445" s="29"/>
      <c r="B445" s="30"/>
    </row>
    <row r="446" spans="1:2">
      <c r="A446" s="29"/>
      <c r="B446" s="30"/>
    </row>
    <row r="447" spans="1:2">
      <c r="A447" s="29"/>
      <c r="B447" s="30"/>
    </row>
    <row r="448" spans="1:2">
      <c r="A448" s="29"/>
      <c r="B448" s="30"/>
    </row>
    <row r="449" spans="1:2">
      <c r="A449" s="29"/>
      <c r="B449" s="30"/>
    </row>
    <row r="450" spans="1:2">
      <c r="A450" s="29"/>
      <c r="B450" s="30"/>
    </row>
    <row r="451" spans="1:2">
      <c r="A451" s="29"/>
      <c r="B451" s="30"/>
    </row>
    <row r="452" spans="1:2">
      <c r="A452" s="29"/>
      <c r="B452" s="30"/>
    </row>
    <row r="453" spans="1:2">
      <c r="A453" s="29"/>
      <c r="B453" s="30"/>
    </row>
    <row r="454" spans="1:2">
      <c r="A454" s="29"/>
      <c r="B454" s="30"/>
    </row>
    <row r="455" spans="1:2">
      <c r="A455" s="29"/>
      <c r="B455" s="30"/>
    </row>
    <row r="456" spans="1:2">
      <c r="A456" s="29"/>
      <c r="B456" s="30"/>
    </row>
    <row r="457" spans="1:2">
      <c r="A457" s="29"/>
      <c r="B457" s="30"/>
    </row>
    <row r="458" spans="1:2">
      <c r="A458" s="29"/>
      <c r="B458" s="30"/>
    </row>
    <row r="459" spans="1:2">
      <c r="A459" s="29"/>
      <c r="B459" s="30"/>
    </row>
    <row r="460" spans="1:2">
      <c r="A460" s="29"/>
      <c r="B460" s="30"/>
    </row>
    <row r="461" spans="1:2">
      <c r="A461" s="29"/>
      <c r="B461" s="30"/>
    </row>
    <row r="462" spans="1:2">
      <c r="A462" s="29"/>
      <c r="B462" s="30"/>
    </row>
    <row r="463" spans="1:2">
      <c r="A463" s="29"/>
      <c r="B463" s="30"/>
    </row>
    <row r="464" spans="1:2">
      <c r="A464" s="29"/>
      <c r="B464" s="30"/>
    </row>
    <row r="465" spans="1:2">
      <c r="A465" s="29"/>
      <c r="B465" s="30"/>
    </row>
    <row r="466" spans="1:2">
      <c r="A466" s="29"/>
      <c r="B466" s="30"/>
    </row>
    <row r="467" spans="1:2">
      <c r="A467" s="29"/>
      <c r="B467" s="30"/>
    </row>
    <row r="468" spans="1:2">
      <c r="A468" s="29"/>
      <c r="B468" s="30"/>
    </row>
    <row r="469" spans="1:2">
      <c r="A469" s="29"/>
      <c r="B469" s="30"/>
    </row>
    <row r="470" spans="1:2">
      <c r="A470" s="29"/>
      <c r="B470" s="30"/>
    </row>
    <row r="471" spans="1:2">
      <c r="A471" s="29"/>
      <c r="B471" s="30"/>
    </row>
    <row r="472" spans="1:2">
      <c r="A472" s="29"/>
      <c r="B472" s="30"/>
    </row>
    <row r="473" spans="1:2">
      <c r="A473" s="29"/>
      <c r="B473" s="30"/>
    </row>
    <row r="474" spans="1:2">
      <c r="A474" s="29"/>
      <c r="B474" s="30"/>
    </row>
    <row r="475" spans="1:2">
      <c r="A475" s="29"/>
      <c r="B475" s="30"/>
    </row>
    <row r="476" spans="1:2">
      <c r="A476" s="29"/>
      <c r="B476" s="30"/>
    </row>
    <row r="477" spans="1:2">
      <c r="A477" s="29"/>
      <c r="B477" s="30"/>
    </row>
    <row r="478" spans="1:2">
      <c r="A478" s="29"/>
      <c r="B478" s="30"/>
    </row>
    <row r="479" spans="1:2">
      <c r="A479" s="29"/>
      <c r="B479" s="30"/>
    </row>
    <row r="480" spans="1:2">
      <c r="A480" s="29"/>
      <c r="B480" s="30"/>
    </row>
    <row r="481" spans="1:2">
      <c r="A481" s="29"/>
      <c r="B481" s="30"/>
    </row>
    <row r="482" spans="1:2">
      <c r="A482" s="29"/>
      <c r="B482" s="30"/>
    </row>
    <row r="483" spans="1:2">
      <c r="A483" s="29"/>
      <c r="B483" s="30"/>
    </row>
    <row r="484" spans="1:2">
      <c r="A484" s="29"/>
      <c r="B484" s="30"/>
    </row>
    <row r="485" spans="1:2">
      <c r="A485" s="29"/>
      <c r="B485" s="30"/>
    </row>
    <row r="486" spans="1:2">
      <c r="A486" s="29"/>
      <c r="B486" s="30"/>
    </row>
    <row r="487" spans="1:2">
      <c r="A487" s="29"/>
      <c r="B487" s="30"/>
    </row>
    <row r="488" spans="1:2">
      <c r="A488" s="29"/>
      <c r="B488" s="30"/>
    </row>
    <row r="489" spans="1:2">
      <c r="A489" s="29"/>
      <c r="B489" s="30"/>
    </row>
    <row r="490" spans="1:2">
      <c r="A490" s="29"/>
      <c r="B490" s="30"/>
    </row>
    <row r="491" spans="1:2">
      <c r="A491" s="29"/>
      <c r="B491" s="30"/>
    </row>
    <row r="492" spans="1:2">
      <c r="A492" s="29"/>
      <c r="B492" s="30"/>
    </row>
    <row r="493" spans="1:2">
      <c r="A493" s="29"/>
      <c r="B493" s="30"/>
    </row>
    <row r="494" spans="1:2">
      <c r="A494" s="29"/>
      <c r="B494" s="30"/>
    </row>
    <row r="495" spans="1:2">
      <c r="A495" s="29"/>
      <c r="B495" s="30"/>
    </row>
    <row r="496" spans="1:2">
      <c r="A496" s="29"/>
      <c r="B496" s="30"/>
    </row>
    <row r="497" spans="1:2">
      <c r="A497" s="29"/>
      <c r="B497" s="30"/>
    </row>
    <row r="498" spans="1:2">
      <c r="A498" s="29"/>
      <c r="B498" s="30"/>
    </row>
    <row r="499" spans="1:2">
      <c r="A499" s="29"/>
      <c r="B499" s="30"/>
    </row>
    <row r="500" spans="1:2">
      <c r="A500" s="29"/>
      <c r="B500" s="30"/>
    </row>
    <row r="501" spans="1:2">
      <c r="A501" s="29"/>
      <c r="B501" s="30"/>
    </row>
    <row r="502" spans="1:2">
      <c r="A502" s="29"/>
      <c r="B502" s="30"/>
    </row>
    <row r="503" spans="1:2">
      <c r="A503" s="29"/>
      <c r="B503" s="30"/>
    </row>
    <row r="504" spans="1:2">
      <c r="A504" s="29"/>
      <c r="B504" s="30"/>
    </row>
    <row r="505" spans="1:2">
      <c r="A505" s="29"/>
      <c r="B505" s="30"/>
    </row>
    <row r="506" spans="1:2">
      <c r="A506" s="29"/>
      <c r="B506" s="30"/>
    </row>
    <row r="507" spans="1:2">
      <c r="A507" s="29"/>
      <c r="B507" s="30"/>
    </row>
    <row r="508" spans="1:2">
      <c r="A508" s="29"/>
      <c r="B508" s="30"/>
    </row>
    <row r="509" spans="1:2">
      <c r="A509" s="29"/>
      <c r="B509" s="30"/>
    </row>
    <row r="510" spans="1:2">
      <c r="A510" s="29"/>
      <c r="B510" s="30"/>
    </row>
    <row r="511" spans="1:2">
      <c r="A511" s="29"/>
      <c r="B511" s="30"/>
    </row>
    <row r="512" spans="1:2">
      <c r="A512" s="29"/>
      <c r="B512" s="30"/>
    </row>
    <row r="513" spans="1:2">
      <c r="A513" s="29"/>
      <c r="B513" s="30"/>
    </row>
    <row r="514" spans="1:2">
      <c r="A514" s="29"/>
      <c r="B514" s="30"/>
    </row>
    <row r="515" spans="1:2">
      <c r="A515" s="29"/>
      <c r="B515" s="30"/>
    </row>
    <row r="516" spans="1:2">
      <c r="A516" s="29"/>
      <c r="B516" s="30"/>
    </row>
    <row r="517" spans="1:2">
      <c r="A517" s="29"/>
      <c r="B517" s="30"/>
    </row>
    <row r="518" spans="1:2">
      <c r="A518" s="29"/>
      <c r="B518" s="30"/>
    </row>
    <row r="519" spans="1:2">
      <c r="A519" s="29"/>
      <c r="B519" s="30"/>
    </row>
    <row r="520" spans="1:2">
      <c r="A520" s="29"/>
      <c r="B520" s="30"/>
    </row>
    <row r="521" spans="1:2">
      <c r="A521" s="29"/>
      <c r="B521" s="30"/>
    </row>
    <row r="522" spans="1:2">
      <c r="A522" s="29"/>
      <c r="B522" s="30"/>
    </row>
    <row r="523" spans="1:2">
      <c r="A523" s="29"/>
      <c r="B523" s="30"/>
    </row>
    <row r="524" spans="1:2">
      <c r="A524" s="29"/>
      <c r="B524" s="30"/>
    </row>
    <row r="525" spans="1:2">
      <c r="A525" s="29"/>
      <c r="B525" s="30"/>
    </row>
    <row r="526" spans="1:2">
      <c r="A526" s="29"/>
      <c r="B526" s="30"/>
    </row>
    <row r="527" spans="1:2">
      <c r="A527" s="29"/>
      <c r="B527" s="30"/>
    </row>
    <row r="528" spans="1:2">
      <c r="A528" s="29"/>
      <c r="B528" s="30"/>
    </row>
    <row r="529" spans="1:2">
      <c r="A529" s="29"/>
      <c r="B529" s="30"/>
    </row>
    <row r="530" spans="1:2">
      <c r="A530" s="29"/>
      <c r="B530" s="30"/>
    </row>
    <row r="531" spans="1:2">
      <c r="A531" s="29"/>
      <c r="B531" s="30"/>
    </row>
    <row r="532" spans="1:2">
      <c r="A532" s="29"/>
      <c r="B532" s="30"/>
    </row>
    <row r="533" spans="1:2">
      <c r="A533" s="29"/>
      <c r="B533" s="30"/>
    </row>
    <row r="534" spans="1:2">
      <c r="A534" s="29"/>
      <c r="B534" s="30"/>
    </row>
    <row r="535" spans="1:2">
      <c r="A535" s="29"/>
      <c r="B535" s="30"/>
    </row>
    <row r="536" spans="1:2">
      <c r="A536" s="29"/>
      <c r="B536" s="30"/>
    </row>
    <row r="537" spans="1:2">
      <c r="A537" s="29"/>
      <c r="B537" s="30"/>
    </row>
    <row r="538" spans="1:2">
      <c r="A538" s="29"/>
      <c r="B538" s="30"/>
    </row>
    <row r="539" spans="1:2">
      <c r="A539" s="29"/>
      <c r="B539" s="30"/>
    </row>
    <row r="540" spans="1:2">
      <c r="A540" s="29"/>
      <c r="B540" s="30"/>
    </row>
    <row r="541" spans="1:2">
      <c r="A541" s="29"/>
      <c r="B541" s="30"/>
    </row>
    <row r="542" spans="1:2">
      <c r="A542" s="29"/>
      <c r="B542" s="30"/>
    </row>
    <row r="543" spans="1:2">
      <c r="A543" s="29"/>
      <c r="B543" s="30"/>
    </row>
    <row r="544" spans="1:2">
      <c r="A544" s="29"/>
      <c r="B544" s="30"/>
    </row>
    <row r="545" spans="1:2">
      <c r="A545" s="29"/>
      <c r="B545" s="30"/>
    </row>
    <row r="546" spans="1:2">
      <c r="A546" s="29"/>
      <c r="B546" s="30"/>
    </row>
    <row r="547" spans="1:2">
      <c r="A547" s="29"/>
      <c r="B547" s="30"/>
    </row>
    <row r="548" spans="1:2">
      <c r="A548" s="29"/>
      <c r="B548" s="30"/>
    </row>
    <row r="549" spans="1:2">
      <c r="A549" s="29"/>
      <c r="B549" s="30"/>
    </row>
    <row r="550" spans="1:2">
      <c r="A550" s="29"/>
      <c r="B550" s="30"/>
    </row>
    <row r="551" spans="1:2">
      <c r="A551" s="29"/>
      <c r="B551" s="30"/>
    </row>
    <row r="552" spans="1:2">
      <c r="A552" s="29"/>
      <c r="B552" s="30"/>
    </row>
    <row r="553" spans="1:2">
      <c r="A553" s="29"/>
      <c r="B553" s="30"/>
    </row>
    <row r="554" spans="1:2">
      <c r="A554" s="29"/>
      <c r="B554" s="30"/>
    </row>
    <row r="555" spans="1:2">
      <c r="A555" s="29"/>
      <c r="B555" s="30"/>
    </row>
    <row r="556" spans="1:2">
      <c r="A556" s="29"/>
      <c r="B556" s="30"/>
    </row>
    <row r="557" spans="1:2">
      <c r="A557" s="29"/>
      <c r="B557" s="30"/>
    </row>
    <row r="558" spans="1:2">
      <c r="A558" s="29"/>
      <c r="B558" s="30"/>
    </row>
    <row r="559" spans="1:2">
      <c r="A559" s="29"/>
      <c r="B559" s="30"/>
    </row>
    <row r="560" spans="1:2">
      <c r="A560" s="29"/>
      <c r="B560" s="30"/>
    </row>
    <row r="561" spans="1:2">
      <c r="A561" s="29"/>
      <c r="B561" s="30"/>
    </row>
    <row r="562" spans="1:2">
      <c r="A562" s="29"/>
      <c r="B562" s="30"/>
    </row>
    <row r="563" spans="1:2">
      <c r="A563" s="29"/>
      <c r="B563" s="30"/>
    </row>
    <row r="564" spans="1:2">
      <c r="A564" s="29"/>
      <c r="B564" s="30"/>
    </row>
    <row r="565" spans="1:2">
      <c r="A565" s="29"/>
      <c r="B565" s="30"/>
    </row>
    <row r="566" spans="1:2">
      <c r="A566" s="29"/>
      <c r="B566" s="30"/>
    </row>
    <row r="567" spans="1:2">
      <c r="A567" s="29"/>
      <c r="B567" s="30"/>
    </row>
    <row r="568" spans="1:2">
      <c r="A568" s="29"/>
      <c r="B568" s="30"/>
    </row>
    <row r="569" spans="1:2">
      <c r="A569" s="29"/>
      <c r="B569" s="30"/>
    </row>
    <row r="570" spans="1:2">
      <c r="A570" s="29"/>
      <c r="B570" s="30"/>
    </row>
    <row r="571" spans="1:2">
      <c r="A571" s="29"/>
      <c r="B571" s="30"/>
    </row>
    <row r="572" spans="1:2">
      <c r="A572" s="29"/>
      <c r="B572" s="30"/>
    </row>
    <row r="573" spans="1:2">
      <c r="A573" s="29"/>
      <c r="B573" s="30"/>
    </row>
    <row r="574" spans="1:2">
      <c r="A574" s="29"/>
      <c r="B574" s="30"/>
    </row>
    <row r="575" spans="1:2">
      <c r="A575" s="29"/>
      <c r="B575" s="30"/>
    </row>
    <row r="576" spans="1:2">
      <c r="A576" s="29"/>
      <c r="B576" s="30"/>
    </row>
    <row r="577" spans="1:2">
      <c r="A577" s="29"/>
      <c r="B577" s="30"/>
    </row>
    <row r="578" spans="1:2">
      <c r="A578" s="29"/>
      <c r="B578" s="30"/>
    </row>
    <row r="579" spans="1:2">
      <c r="A579" s="29"/>
      <c r="B579" s="30"/>
    </row>
    <row r="580" spans="1:2">
      <c r="A580" s="29"/>
      <c r="B580" s="30"/>
    </row>
    <row r="581" spans="1:2">
      <c r="A581" s="29"/>
      <c r="B581" s="30"/>
    </row>
    <row r="582" spans="1:2">
      <c r="A582" s="29"/>
      <c r="B582" s="30"/>
    </row>
    <row r="583" spans="1:2">
      <c r="A583" s="29"/>
      <c r="B583" s="30"/>
    </row>
    <row r="584" spans="1:2">
      <c r="A584" s="29"/>
      <c r="B584" s="30"/>
    </row>
    <row r="585" spans="1:2">
      <c r="A585" s="29"/>
      <c r="B585" s="30"/>
    </row>
    <row r="586" spans="1:2">
      <c r="A586" s="29"/>
      <c r="B586" s="30"/>
    </row>
    <row r="587" spans="1:2">
      <c r="A587" s="29"/>
      <c r="B587" s="30"/>
    </row>
    <row r="588" spans="1:2">
      <c r="A588" s="29"/>
      <c r="B588" s="30"/>
    </row>
    <row r="589" spans="1:2">
      <c r="A589" s="29"/>
      <c r="B589" s="30"/>
    </row>
    <row r="590" spans="1:2">
      <c r="A590" s="29"/>
      <c r="B590" s="30"/>
    </row>
    <row r="591" spans="1:2">
      <c r="A591" s="29"/>
      <c r="B591" s="30"/>
    </row>
    <row r="592" spans="1:2">
      <c r="A592" s="29"/>
      <c r="B592" s="30"/>
    </row>
    <row r="593" spans="1:2">
      <c r="A593" s="29"/>
      <c r="B593" s="30"/>
    </row>
    <row r="594" spans="1:2">
      <c r="A594" s="29"/>
      <c r="B594" s="30"/>
    </row>
    <row r="595" spans="1:2">
      <c r="A595" s="29"/>
      <c r="B595" s="30"/>
    </row>
    <row r="596" spans="1:2">
      <c r="A596" s="29"/>
      <c r="B596" s="30"/>
    </row>
    <row r="597" spans="1:2">
      <c r="A597" s="29"/>
      <c r="B597" s="30"/>
    </row>
    <row r="598" spans="1:2">
      <c r="A598" s="29"/>
      <c r="B598" s="30"/>
    </row>
    <row r="599" spans="1:2">
      <c r="A599" s="29"/>
      <c r="B599" s="30"/>
    </row>
    <row r="600" spans="1:2">
      <c r="A600" s="29"/>
      <c r="B600" s="30"/>
    </row>
    <row r="601" spans="1:2">
      <c r="A601" s="29"/>
      <c r="B601" s="30"/>
    </row>
    <row r="602" spans="1:2">
      <c r="A602" s="29"/>
      <c r="B602" s="30"/>
    </row>
    <row r="603" spans="1:2">
      <c r="A603" s="29"/>
      <c r="B603" s="30"/>
    </row>
    <row r="604" spans="1:2">
      <c r="A604" s="29"/>
      <c r="B604" s="30"/>
    </row>
    <row r="605" spans="1:2">
      <c r="A605" s="29"/>
      <c r="B605" s="30"/>
    </row>
    <row r="606" spans="1:2">
      <c r="A606" s="29"/>
      <c r="B606" s="30"/>
    </row>
    <row r="607" spans="1:2">
      <c r="A607" s="29"/>
      <c r="B607" s="30"/>
    </row>
    <row r="608" spans="1:2">
      <c r="A608" s="29"/>
      <c r="B608" s="30"/>
    </row>
    <row r="609" spans="1:2">
      <c r="A609" s="29"/>
      <c r="B609" s="30"/>
    </row>
    <row r="610" spans="1:2">
      <c r="A610" s="29"/>
      <c r="B610" s="30"/>
    </row>
    <row r="611" spans="1:2">
      <c r="A611" s="29"/>
      <c r="B611" s="30"/>
    </row>
    <row r="612" spans="1:2">
      <c r="A612" s="29"/>
      <c r="B612" s="30"/>
    </row>
    <row r="613" spans="1:2">
      <c r="A613" s="29"/>
      <c r="B613" s="30"/>
    </row>
    <row r="614" spans="1:2">
      <c r="A614" s="29"/>
      <c r="B614" s="30"/>
    </row>
    <row r="615" spans="1:2">
      <c r="A615" s="29"/>
      <c r="B615" s="30"/>
    </row>
    <row r="616" spans="1:2">
      <c r="A616" s="29"/>
      <c r="B616" s="30"/>
    </row>
    <row r="617" spans="1:2">
      <c r="A617" s="29"/>
      <c r="B617" s="30"/>
    </row>
    <row r="618" spans="1:2">
      <c r="A618" s="29"/>
      <c r="B618" s="30"/>
    </row>
    <row r="619" spans="1:2">
      <c r="A619" s="29"/>
      <c r="B619" s="30"/>
    </row>
    <row r="620" spans="1:2">
      <c r="A620" s="29"/>
      <c r="B620" s="30"/>
    </row>
    <row r="621" spans="1:2">
      <c r="A621" s="29"/>
      <c r="B621" s="30"/>
    </row>
    <row r="622" spans="1:2">
      <c r="A622" s="29"/>
      <c r="B622" s="30"/>
    </row>
    <row r="623" spans="1:2">
      <c r="A623" s="29"/>
      <c r="B623" s="30"/>
    </row>
    <row r="624" spans="1:2">
      <c r="A624" s="29"/>
      <c r="B624" s="30"/>
    </row>
    <row r="625" spans="1:2">
      <c r="A625" s="29"/>
      <c r="B625" s="30"/>
    </row>
    <row r="626" spans="1:2">
      <c r="A626" s="29"/>
      <c r="B626" s="30"/>
    </row>
    <row r="627" spans="1:2">
      <c r="A627" s="29"/>
      <c r="B627" s="30"/>
    </row>
    <row r="628" spans="1:2">
      <c r="A628" s="29"/>
      <c r="B628" s="30"/>
    </row>
    <row r="629" spans="1:2">
      <c r="A629" s="29"/>
      <c r="B629" s="30"/>
    </row>
    <row r="630" spans="1:2">
      <c r="A630" s="29"/>
      <c r="B630" s="30"/>
    </row>
    <row r="631" spans="1:2">
      <c r="A631" s="29"/>
      <c r="B631" s="30"/>
    </row>
    <row r="632" spans="1:2">
      <c r="A632" s="29"/>
      <c r="B632" s="30"/>
    </row>
    <row r="633" spans="1:2">
      <c r="A633" s="29"/>
      <c r="B633" s="30"/>
    </row>
    <row r="634" spans="1:2">
      <c r="A634" s="29"/>
      <c r="B634" s="30"/>
    </row>
    <row r="635" spans="1:2">
      <c r="A635" s="29"/>
      <c r="B635" s="30"/>
    </row>
    <row r="636" spans="1:2">
      <c r="A636" s="29"/>
      <c r="B636" s="30"/>
    </row>
    <row r="637" spans="1:2">
      <c r="A637" s="29"/>
      <c r="B637" s="30"/>
    </row>
    <row r="638" spans="1:2">
      <c r="A638" s="29"/>
      <c r="B638" s="30"/>
    </row>
    <row r="639" spans="1:2">
      <c r="A639" s="29"/>
      <c r="B639" s="30"/>
    </row>
    <row r="640" spans="1:2">
      <c r="A640" s="29"/>
      <c r="B640" s="30"/>
    </row>
    <row r="641" spans="1:2">
      <c r="A641" s="29"/>
      <c r="B641" s="30"/>
    </row>
    <row r="642" spans="1:2">
      <c r="A642" s="29"/>
      <c r="B642" s="30"/>
    </row>
    <row r="643" spans="1:2">
      <c r="A643" s="29"/>
      <c r="B643" s="30"/>
    </row>
    <row r="644" spans="1:2">
      <c r="A644" s="29"/>
      <c r="B644" s="30"/>
    </row>
    <row r="645" spans="1:2">
      <c r="A645" s="29"/>
      <c r="B645" s="30"/>
    </row>
    <row r="646" spans="1:2">
      <c r="A646" s="29"/>
      <c r="B646" s="30"/>
    </row>
    <row r="647" spans="1:2">
      <c r="A647" s="29"/>
      <c r="B647" s="30"/>
    </row>
    <row r="648" spans="1:2">
      <c r="A648" s="29"/>
      <c r="B648" s="30"/>
    </row>
    <row r="649" spans="1:2">
      <c r="A649" s="29"/>
      <c r="B649" s="30"/>
    </row>
    <row r="650" spans="1:2">
      <c r="A650" s="29"/>
      <c r="B650" s="30"/>
    </row>
    <row r="651" spans="1:2">
      <c r="A651" s="29"/>
      <c r="B651" s="30"/>
    </row>
    <row r="652" spans="1:2">
      <c r="A652" s="29"/>
      <c r="B652" s="30"/>
    </row>
    <row r="653" spans="1:2">
      <c r="A653" s="29"/>
      <c r="B653" s="30"/>
    </row>
    <row r="654" spans="1:2">
      <c r="A654" s="29"/>
      <c r="B654" s="30"/>
    </row>
    <row r="655" spans="1:2">
      <c r="A655" s="29"/>
      <c r="B655" s="30"/>
    </row>
    <row r="656" spans="1:2">
      <c r="A656" s="29"/>
      <c r="B656" s="30"/>
    </row>
    <row r="657" spans="1:2">
      <c r="A657" s="29"/>
      <c r="B657" s="30"/>
    </row>
    <row r="658" spans="1:2">
      <c r="A658" s="29"/>
      <c r="B658" s="30"/>
    </row>
    <row r="659" spans="1:2">
      <c r="A659" s="29"/>
      <c r="B659" s="30"/>
    </row>
    <row r="660" spans="1:2">
      <c r="A660" s="29"/>
      <c r="B660" s="30"/>
    </row>
    <row r="661" spans="1:2">
      <c r="A661" s="29"/>
      <c r="B661" s="30"/>
    </row>
    <row r="662" spans="1:2">
      <c r="A662" s="29"/>
      <c r="B662" s="30"/>
    </row>
    <row r="663" spans="1:2">
      <c r="A663" s="29"/>
      <c r="B663" s="30"/>
    </row>
    <row r="664" spans="1:2">
      <c r="A664" s="29"/>
      <c r="B664" s="30"/>
    </row>
    <row r="665" spans="1:2">
      <c r="A665" s="29"/>
      <c r="B665" s="30"/>
    </row>
    <row r="666" spans="1:2">
      <c r="A666" s="29"/>
      <c r="B666" s="30"/>
    </row>
    <row r="667" spans="1:2">
      <c r="A667" s="29"/>
      <c r="B667" s="30"/>
    </row>
    <row r="668" spans="1:2">
      <c r="A668" s="29"/>
      <c r="B668" s="30"/>
    </row>
    <row r="669" spans="1:2">
      <c r="A669" s="29"/>
      <c r="B669" s="30"/>
    </row>
    <row r="670" spans="1:2">
      <c r="A670" s="29"/>
      <c r="B670" s="30"/>
    </row>
    <row r="671" spans="1:2">
      <c r="A671" s="29"/>
      <c r="B671" s="30"/>
    </row>
    <row r="672" spans="1:2">
      <c r="A672" s="29"/>
      <c r="B672" s="30"/>
    </row>
    <row r="673" spans="1:2">
      <c r="A673" s="29"/>
      <c r="B673" s="30"/>
    </row>
    <row r="674" spans="1:2">
      <c r="A674" s="29"/>
      <c r="B674" s="30"/>
    </row>
    <row r="675" spans="1:2">
      <c r="A675" s="29"/>
      <c r="B675" s="30"/>
    </row>
    <row r="676" spans="1:2">
      <c r="A676" s="29"/>
      <c r="B676" s="30"/>
    </row>
    <row r="677" spans="1:2">
      <c r="A677" s="29"/>
      <c r="B677" s="30"/>
    </row>
    <row r="678" spans="1:2">
      <c r="A678" s="29"/>
      <c r="B678" s="30"/>
    </row>
    <row r="679" spans="1:2">
      <c r="A679" s="29"/>
      <c r="B679" s="30"/>
    </row>
    <row r="680" spans="1:2">
      <c r="A680" s="29"/>
      <c r="B680" s="30"/>
    </row>
    <row r="681" spans="1:2">
      <c r="A681" s="29"/>
      <c r="B681" s="30"/>
    </row>
    <row r="682" spans="1:2">
      <c r="A682" s="29"/>
      <c r="B682" s="30"/>
    </row>
    <row r="683" spans="1:2">
      <c r="A683" s="29"/>
      <c r="B683" s="30"/>
    </row>
    <row r="684" spans="1:2">
      <c r="A684" s="29"/>
      <c r="B684" s="30"/>
    </row>
    <row r="685" spans="1:2">
      <c r="A685" s="29"/>
      <c r="B685" s="30"/>
    </row>
    <row r="686" spans="1:2">
      <c r="A686" s="29"/>
      <c r="B686" s="30"/>
    </row>
    <row r="687" spans="1:2">
      <c r="A687" s="29"/>
      <c r="B687" s="30"/>
    </row>
    <row r="688" spans="1:2">
      <c r="A688" s="29"/>
      <c r="B688" s="30"/>
    </row>
    <row r="689" spans="1:2">
      <c r="A689" s="29"/>
      <c r="B689" s="30"/>
    </row>
    <row r="690" spans="1:2">
      <c r="A690" s="29"/>
      <c r="B690" s="30"/>
    </row>
    <row r="691" spans="1:2">
      <c r="A691" s="29"/>
      <c r="B691" s="30"/>
    </row>
    <row r="692" spans="1:2">
      <c r="A692" s="29"/>
      <c r="B692" s="30"/>
    </row>
    <row r="693" spans="1:2">
      <c r="A693" s="29"/>
      <c r="B693" s="30"/>
    </row>
    <row r="694" spans="1:2">
      <c r="A694" s="29"/>
      <c r="B694" s="30"/>
    </row>
    <row r="695" spans="1:2">
      <c r="A695" s="29"/>
      <c r="B695" s="30"/>
    </row>
    <row r="696" spans="1:2">
      <c r="A696" s="29"/>
      <c r="B696" s="30"/>
    </row>
    <row r="697" spans="1:2">
      <c r="A697" s="29"/>
      <c r="B697" s="30"/>
    </row>
    <row r="698" spans="1:2">
      <c r="A698" s="29"/>
      <c r="B698" s="30"/>
    </row>
    <row r="699" spans="1:2">
      <c r="A699" s="29"/>
      <c r="B699" s="30"/>
    </row>
    <row r="700" spans="1:2">
      <c r="A700" s="29"/>
      <c r="B700" s="30"/>
    </row>
    <row r="701" spans="1:2">
      <c r="A701" s="29"/>
      <c r="B701" s="30"/>
    </row>
    <row r="702" spans="1:2">
      <c r="A702" s="29"/>
      <c r="B702" s="30"/>
    </row>
    <row r="703" spans="1:2">
      <c r="A703" s="29"/>
      <c r="B703" s="30"/>
    </row>
    <row r="704" spans="1:2">
      <c r="A704" s="29"/>
      <c r="B704" s="30"/>
    </row>
    <row r="705" spans="1:2">
      <c r="A705" s="29"/>
      <c r="B705" s="30"/>
    </row>
    <row r="706" spans="1:2">
      <c r="A706" s="29"/>
      <c r="B706" s="30"/>
    </row>
    <row r="707" spans="1:2">
      <c r="A707" s="29"/>
      <c r="B707" s="30"/>
    </row>
    <row r="708" spans="1:2">
      <c r="A708" s="29"/>
      <c r="B708" s="30"/>
    </row>
    <row r="709" spans="1:2">
      <c r="A709" s="29"/>
      <c r="B709" s="30"/>
    </row>
    <row r="710" spans="1:2">
      <c r="A710" s="29"/>
      <c r="B710" s="30"/>
    </row>
    <row r="711" spans="1:2">
      <c r="A711" s="29"/>
      <c r="B711" s="30"/>
    </row>
    <row r="712" spans="1:2">
      <c r="A712" s="29"/>
      <c r="B712" s="30"/>
    </row>
    <row r="713" spans="1:2">
      <c r="A713" s="29"/>
      <c r="B713" s="30"/>
    </row>
    <row r="714" spans="1:2">
      <c r="A714" s="29"/>
      <c r="B714" s="30"/>
    </row>
    <row r="715" spans="1:2">
      <c r="A715" s="29"/>
      <c r="B715" s="30"/>
    </row>
    <row r="716" spans="1:2">
      <c r="A716" s="29"/>
      <c r="B716" s="30"/>
    </row>
    <row r="717" spans="1:2">
      <c r="A717" s="29"/>
      <c r="B717" s="30"/>
    </row>
    <row r="718" spans="1:2">
      <c r="A718" s="29"/>
      <c r="B718" s="30"/>
    </row>
    <row r="719" spans="1:2">
      <c r="A719" s="29"/>
      <c r="B719" s="30"/>
    </row>
    <row r="720" spans="1:2">
      <c r="A720" s="29"/>
      <c r="B720" s="30"/>
    </row>
    <row r="721" spans="1:2">
      <c r="A721" s="29"/>
      <c r="B721" s="30"/>
    </row>
    <row r="722" spans="1:2">
      <c r="A722" s="29"/>
      <c r="B722" s="30"/>
    </row>
    <row r="723" spans="1:2">
      <c r="A723" s="29"/>
      <c r="B723" s="30"/>
    </row>
    <row r="724" spans="1:2">
      <c r="A724" s="29"/>
      <c r="B724" s="30"/>
    </row>
    <row r="725" spans="1:2">
      <c r="A725" s="29"/>
      <c r="B725" s="30"/>
    </row>
    <row r="726" spans="1:2">
      <c r="A726" s="29"/>
      <c r="B726" s="30"/>
    </row>
    <row r="727" spans="1:2">
      <c r="A727" s="29"/>
      <c r="B727" s="30"/>
    </row>
    <row r="728" spans="1:2">
      <c r="A728" s="29"/>
      <c r="B728" s="30"/>
    </row>
    <row r="729" spans="1:2">
      <c r="A729" s="29"/>
      <c r="B729" s="30"/>
    </row>
    <row r="730" spans="1:2">
      <c r="A730" s="29"/>
      <c r="B730" s="30"/>
    </row>
    <row r="731" spans="1:2">
      <c r="A731" s="29"/>
      <c r="B731" s="30"/>
    </row>
    <row r="732" spans="1:2">
      <c r="A732" s="29"/>
      <c r="B732" s="30"/>
    </row>
    <row r="733" spans="1:2">
      <c r="A733" s="29"/>
      <c r="B733" s="30"/>
    </row>
    <row r="734" spans="1:2">
      <c r="A734" s="29"/>
      <c r="B734" s="30"/>
    </row>
    <row r="735" spans="1:2">
      <c r="A735" s="29"/>
      <c r="B735" s="30"/>
    </row>
    <row r="736" spans="1:2">
      <c r="A736" s="29"/>
      <c r="B736" s="30"/>
    </row>
    <row r="737" spans="1:2">
      <c r="A737" s="29"/>
      <c r="B737" s="30"/>
    </row>
    <row r="738" spans="1:2">
      <c r="A738" s="29"/>
      <c r="B738" s="30"/>
    </row>
    <row r="739" spans="1:2">
      <c r="A739" s="29"/>
      <c r="B739" s="30"/>
    </row>
    <row r="740" spans="1:2">
      <c r="A740" s="29"/>
      <c r="B740" s="30"/>
    </row>
    <row r="741" spans="1:2">
      <c r="A741" s="29"/>
      <c r="B741" s="30"/>
    </row>
    <row r="742" spans="1:2">
      <c r="A742" s="29"/>
      <c r="B742" s="30"/>
    </row>
    <row r="743" spans="1:2">
      <c r="A743" s="29"/>
      <c r="B743" s="30"/>
    </row>
    <row r="744" spans="1:2">
      <c r="A744" s="29"/>
      <c r="B744" s="30"/>
    </row>
    <row r="745" spans="1:2">
      <c r="A745" s="29"/>
      <c r="B745" s="30"/>
    </row>
    <row r="746" spans="1:2">
      <c r="A746" s="29"/>
      <c r="B746" s="30"/>
    </row>
    <row r="747" spans="1:2">
      <c r="A747" s="29"/>
      <c r="B747" s="30"/>
    </row>
    <row r="748" spans="1:2">
      <c r="A748" s="29"/>
      <c r="B748" s="30"/>
    </row>
    <row r="749" spans="1:2">
      <c r="A749" s="29"/>
      <c r="B749" s="30"/>
    </row>
    <row r="750" spans="1:2">
      <c r="A750" s="29"/>
      <c r="B750" s="30"/>
    </row>
    <row r="751" spans="1:2">
      <c r="A751" s="29"/>
      <c r="B751" s="30"/>
    </row>
    <row r="752" spans="1:2">
      <c r="A752" s="29"/>
      <c r="B752" s="30"/>
    </row>
    <row r="753" spans="1:13">
      <c r="A753" s="29"/>
      <c r="B753" s="30"/>
    </row>
    <row r="754" spans="1:13">
      <c r="A754" s="29"/>
      <c r="B754" s="30"/>
      <c r="M754" s="30"/>
    </row>
    <row r="755" spans="1:13">
      <c r="A755" s="29"/>
      <c r="B755" s="30"/>
    </row>
    <row r="756" spans="1:13">
      <c r="A756" s="29"/>
      <c r="B756" s="30"/>
    </row>
    <row r="757" spans="1:13">
      <c r="A757" s="29"/>
      <c r="B757" s="30"/>
    </row>
    <row r="758" spans="1:13">
      <c r="A758" s="29"/>
      <c r="B758" s="30"/>
    </row>
    <row r="759" spans="1:13">
      <c r="A759" s="29"/>
      <c r="B759" s="30"/>
    </row>
    <row r="760" spans="1:13">
      <c r="A760" s="29"/>
      <c r="B760" s="30"/>
    </row>
    <row r="761" spans="1:13">
      <c r="A761" s="29"/>
      <c r="B761" s="30"/>
    </row>
    <row r="762" spans="1:13">
      <c r="A762" s="29"/>
      <c r="B762" s="30"/>
    </row>
    <row r="763" spans="1:13">
      <c r="A763" s="29"/>
      <c r="B763" s="30"/>
    </row>
    <row r="764" spans="1:13">
      <c r="A764" s="29"/>
      <c r="B764" s="30"/>
    </row>
    <row r="765" spans="1:13">
      <c r="A765" s="29"/>
      <c r="B765" s="30"/>
    </row>
    <row r="766" spans="1:13">
      <c r="A766" s="29"/>
      <c r="B766" s="30"/>
    </row>
    <row r="767" spans="1:13">
      <c r="A767" s="29"/>
      <c r="B767" s="30"/>
    </row>
    <row r="768" spans="1:13">
      <c r="A768" s="29"/>
      <c r="B768" s="30"/>
    </row>
    <row r="769" spans="1:2">
      <c r="A769" s="29"/>
      <c r="B769" s="30"/>
    </row>
    <row r="770" spans="1:2">
      <c r="A770" s="29"/>
      <c r="B770" s="30"/>
    </row>
    <row r="771" spans="1:2">
      <c r="A771" s="29"/>
      <c r="B771" s="30"/>
    </row>
    <row r="772" spans="1:2">
      <c r="A772" s="29"/>
      <c r="B772" s="30"/>
    </row>
    <row r="773" spans="1:2">
      <c r="A773" s="29"/>
      <c r="B773" s="30"/>
    </row>
    <row r="774" spans="1:2">
      <c r="A774" s="29"/>
      <c r="B774" s="30"/>
    </row>
    <row r="775" spans="1:2">
      <c r="A775" s="29"/>
      <c r="B775" s="30"/>
    </row>
    <row r="776" spans="1:2">
      <c r="A776" s="29"/>
      <c r="B776" s="30"/>
    </row>
    <row r="777" spans="1:2">
      <c r="A777" s="29"/>
      <c r="B777" s="30"/>
    </row>
    <row r="778" spans="1:2">
      <c r="A778" s="29"/>
      <c r="B778" s="30"/>
    </row>
    <row r="779" spans="1:2">
      <c r="A779" s="29"/>
      <c r="B779" s="30"/>
    </row>
    <row r="780" spans="1:2">
      <c r="A780" s="29"/>
      <c r="B780" s="30"/>
    </row>
    <row r="781" spans="1:2">
      <c r="A781" s="29"/>
      <c r="B781" s="30"/>
    </row>
    <row r="782" spans="1:2">
      <c r="A782" s="29"/>
      <c r="B782" s="30"/>
    </row>
    <row r="783" spans="1:2">
      <c r="A783" s="29"/>
      <c r="B783" s="30"/>
    </row>
    <row r="784" spans="1:2">
      <c r="A784" s="29"/>
      <c r="B784" s="30"/>
    </row>
    <row r="785" spans="1:2">
      <c r="A785" s="29"/>
      <c r="B785" s="30"/>
    </row>
    <row r="786" spans="1:2">
      <c r="A786" s="29"/>
      <c r="B786" s="30"/>
    </row>
    <row r="787" spans="1:2">
      <c r="A787" s="29"/>
      <c r="B787" s="30"/>
    </row>
    <row r="788" spans="1:2">
      <c r="A788" s="29"/>
      <c r="B788" s="30"/>
    </row>
    <row r="789" spans="1:2">
      <c r="A789" s="29"/>
      <c r="B789" s="30"/>
    </row>
    <row r="790" spans="1:2">
      <c r="A790" s="29"/>
      <c r="B790" s="30"/>
    </row>
    <row r="791" spans="1:2">
      <c r="A791" s="29"/>
      <c r="B791" s="30"/>
    </row>
    <row r="792" spans="1:2">
      <c r="A792" s="29"/>
      <c r="B792" s="30"/>
    </row>
    <row r="793" spans="1:2">
      <c r="A793" s="29"/>
      <c r="B793" s="30"/>
    </row>
    <row r="794" spans="1:2">
      <c r="A794" s="29"/>
      <c r="B794" s="30"/>
    </row>
    <row r="795" spans="1:2">
      <c r="A795" s="29"/>
      <c r="B795" s="30"/>
    </row>
    <row r="796" spans="1:2">
      <c r="A796" s="29"/>
      <c r="B796" s="30"/>
    </row>
    <row r="797" spans="1:2">
      <c r="A797" s="29"/>
      <c r="B797" s="30"/>
    </row>
    <row r="798" spans="1:2">
      <c r="A798" s="29"/>
      <c r="B798" s="30"/>
    </row>
    <row r="799" spans="1:2">
      <c r="A799" s="29"/>
      <c r="B799" s="30"/>
    </row>
    <row r="800" spans="1:2">
      <c r="A800" s="29"/>
      <c r="B800" s="30"/>
    </row>
    <row r="801" spans="1:13">
      <c r="A801" s="29"/>
      <c r="B801" s="30"/>
    </row>
    <row r="802" spans="1:13">
      <c r="A802" s="29"/>
      <c r="B802" s="30"/>
    </row>
    <row r="803" spans="1:13">
      <c r="A803" s="29"/>
      <c r="B803" s="30"/>
    </row>
    <row r="804" spans="1:13">
      <c r="A804" s="29"/>
      <c r="B804" s="30"/>
    </row>
    <row r="805" spans="1:13">
      <c r="A805" s="29"/>
      <c r="B805" s="30"/>
      <c r="M805" s="30"/>
    </row>
    <row r="806" spans="1:13">
      <c r="A806" s="29"/>
      <c r="B806" s="30"/>
    </row>
    <row r="807" spans="1:13">
      <c r="A807" s="29"/>
      <c r="B807" s="30"/>
    </row>
    <row r="808" spans="1:13">
      <c r="A808" s="29"/>
      <c r="B808" s="30"/>
    </row>
    <row r="809" spans="1:13">
      <c r="A809" s="29"/>
      <c r="B809" s="30"/>
    </row>
    <row r="810" spans="1:13">
      <c r="A810" s="29"/>
      <c r="B810" s="30"/>
    </row>
    <row r="811" spans="1:13">
      <c r="A811" s="29"/>
      <c r="B811" s="30"/>
    </row>
    <row r="812" spans="1:13">
      <c r="A812" s="29"/>
      <c r="B812" s="30"/>
    </row>
    <row r="813" spans="1:13">
      <c r="A813" s="29"/>
      <c r="B813" s="30"/>
    </row>
    <row r="814" spans="1:13">
      <c r="A814" s="29"/>
      <c r="B814" s="30"/>
    </row>
    <row r="815" spans="1:13">
      <c r="A815" s="29"/>
      <c r="B815" s="30"/>
    </row>
    <row r="816" spans="1:13">
      <c r="A816" s="29"/>
      <c r="B816" s="30"/>
    </row>
    <row r="817" spans="1:2">
      <c r="A817" s="29"/>
      <c r="B817" s="30"/>
    </row>
    <row r="818" spans="1:2">
      <c r="A818" s="29"/>
      <c r="B818" s="30"/>
    </row>
    <row r="819" spans="1:2">
      <c r="A819" s="29"/>
      <c r="B819" s="30"/>
    </row>
    <row r="820" spans="1:2">
      <c r="A820" s="29"/>
      <c r="B820" s="30"/>
    </row>
    <row r="821" spans="1:2">
      <c r="A821" s="29"/>
      <c r="B821" s="30"/>
    </row>
    <row r="822" spans="1:2">
      <c r="A822" s="29"/>
      <c r="B822" s="30"/>
    </row>
    <row r="823" spans="1:2">
      <c r="A823" s="29"/>
      <c r="B823" s="30"/>
    </row>
    <row r="824" spans="1:2">
      <c r="A824" s="29"/>
      <c r="B824" s="30"/>
    </row>
    <row r="825" spans="1:2">
      <c r="A825" s="29"/>
      <c r="B825" s="30"/>
    </row>
    <row r="826" spans="1:2">
      <c r="A826" s="29"/>
      <c r="B826" s="30"/>
    </row>
    <row r="827" spans="1:2">
      <c r="A827" s="29"/>
      <c r="B827" s="30"/>
    </row>
    <row r="828" spans="1:2">
      <c r="A828" s="29"/>
      <c r="B828" s="30"/>
    </row>
    <row r="829" spans="1:2">
      <c r="A829" s="29"/>
      <c r="B829" s="30"/>
    </row>
    <row r="830" spans="1:2">
      <c r="A830" s="29"/>
      <c r="B830" s="30"/>
    </row>
    <row r="831" spans="1:2">
      <c r="A831" s="29"/>
      <c r="B831" s="30"/>
    </row>
    <row r="832" spans="1:2">
      <c r="A832" s="29"/>
      <c r="B832" s="30"/>
    </row>
    <row r="833" spans="1:2">
      <c r="A833" s="29"/>
      <c r="B833" s="30"/>
    </row>
    <row r="834" spans="1:2">
      <c r="A834" s="29"/>
      <c r="B834" s="30"/>
    </row>
    <row r="835" spans="1:2">
      <c r="A835" s="29"/>
      <c r="B835" s="30"/>
    </row>
    <row r="836" spans="1:2">
      <c r="A836" s="29"/>
      <c r="B836" s="30"/>
    </row>
    <row r="837" spans="1:2">
      <c r="A837" s="29"/>
      <c r="B837" s="30"/>
    </row>
    <row r="838" spans="1:2">
      <c r="A838" s="29"/>
      <c r="B838" s="30"/>
    </row>
    <row r="839" spans="1:2">
      <c r="A839" s="29"/>
      <c r="B839" s="30"/>
    </row>
    <row r="840" spans="1:2">
      <c r="A840" s="29"/>
      <c r="B840" s="30"/>
    </row>
    <row r="841" spans="1:2">
      <c r="A841" s="29"/>
      <c r="B841" s="30"/>
    </row>
    <row r="842" spans="1:2">
      <c r="A842" s="29"/>
      <c r="B842" s="30"/>
    </row>
    <row r="843" spans="1:2">
      <c r="A843" s="29"/>
      <c r="B843" s="30"/>
    </row>
    <row r="844" spans="1:2">
      <c r="A844" s="29"/>
      <c r="B844" s="30"/>
    </row>
    <row r="845" spans="1:2">
      <c r="A845" s="29"/>
      <c r="B845" s="30"/>
    </row>
    <row r="846" spans="1:2">
      <c r="A846" s="29"/>
      <c r="B846" s="30"/>
    </row>
    <row r="847" spans="1:2">
      <c r="A847" s="29"/>
      <c r="B847" s="30"/>
    </row>
    <row r="848" spans="1:2">
      <c r="A848" s="29"/>
      <c r="B848" s="30"/>
    </row>
    <row r="849" spans="1:13">
      <c r="A849" s="29"/>
      <c r="B849" s="30"/>
    </row>
    <row r="850" spans="1:13">
      <c r="A850" s="29"/>
      <c r="B850" s="30"/>
    </row>
    <row r="851" spans="1:13">
      <c r="A851" s="29"/>
      <c r="B851" s="30"/>
    </row>
    <row r="852" spans="1:13">
      <c r="A852" s="29"/>
      <c r="B852" s="30"/>
    </row>
    <row r="853" spans="1:13">
      <c r="A853" s="29"/>
      <c r="B853" s="30"/>
    </row>
    <row r="854" spans="1:13">
      <c r="A854" s="29"/>
      <c r="B854" s="30"/>
    </row>
    <row r="855" spans="1:13">
      <c r="A855" s="29"/>
      <c r="B855" s="30"/>
    </row>
    <row r="856" spans="1:13">
      <c r="A856" s="29"/>
      <c r="B856" s="30"/>
    </row>
    <row r="857" spans="1:13">
      <c r="A857" s="29"/>
      <c r="B857" s="30"/>
    </row>
    <row r="858" spans="1:13">
      <c r="A858" s="29"/>
      <c r="B858" s="30"/>
    </row>
    <row r="859" spans="1:13">
      <c r="A859" s="29"/>
      <c r="B859" s="30"/>
    </row>
    <row r="860" spans="1:13">
      <c r="A860" s="29"/>
      <c r="B860" s="30"/>
    </row>
    <row r="861" spans="1:13">
      <c r="A861" s="29"/>
      <c r="B861" s="30"/>
      <c r="M861" s="30"/>
    </row>
    <row r="862" spans="1:13">
      <c r="A862" s="29"/>
      <c r="B862" s="30"/>
    </row>
    <row r="863" spans="1:13">
      <c r="A863" s="29"/>
      <c r="B863" s="30"/>
    </row>
    <row r="864" spans="1:13">
      <c r="A864" s="29"/>
      <c r="B864" s="30"/>
    </row>
    <row r="865" spans="1:2">
      <c r="A865" s="29"/>
      <c r="B865" s="30"/>
    </row>
    <row r="866" spans="1:2">
      <c r="A866" s="29"/>
      <c r="B866" s="30"/>
    </row>
    <row r="867" spans="1:2">
      <c r="A867" s="29"/>
      <c r="B867" s="30"/>
    </row>
    <row r="868" spans="1:2">
      <c r="A868" s="29"/>
      <c r="B868" s="30"/>
    </row>
    <row r="869" spans="1:2">
      <c r="A869" s="29"/>
      <c r="B869" s="30"/>
    </row>
    <row r="870" spans="1:2">
      <c r="A870" s="29"/>
      <c r="B870" s="30"/>
    </row>
    <row r="871" spans="1:2">
      <c r="A871" s="29"/>
      <c r="B871" s="30"/>
    </row>
    <row r="872" spans="1:2">
      <c r="A872" s="29"/>
      <c r="B872" s="30"/>
    </row>
    <row r="873" spans="1:2">
      <c r="A873" s="29"/>
      <c r="B873" s="30"/>
    </row>
    <row r="874" spans="1:2">
      <c r="A874" s="29"/>
      <c r="B874" s="30"/>
    </row>
    <row r="875" spans="1:2">
      <c r="A875" s="29"/>
      <c r="B875" s="30"/>
    </row>
    <row r="876" spans="1:2">
      <c r="A876" s="29"/>
      <c r="B876" s="30"/>
    </row>
    <row r="877" spans="1:2">
      <c r="A877" s="29"/>
      <c r="B877" s="30"/>
    </row>
    <row r="878" spans="1:2">
      <c r="A878" s="29"/>
      <c r="B878" s="30"/>
    </row>
    <row r="879" spans="1:2">
      <c r="A879" s="29"/>
      <c r="B879" s="30"/>
    </row>
    <row r="880" spans="1:2">
      <c r="A880" s="29"/>
      <c r="B880" s="30"/>
    </row>
    <row r="881" spans="1:2">
      <c r="A881" s="29"/>
      <c r="B881" s="30"/>
    </row>
    <row r="882" spans="1:2">
      <c r="A882" s="29"/>
      <c r="B882" s="30"/>
    </row>
    <row r="883" spans="1:2">
      <c r="A883" s="29"/>
      <c r="B883" s="30"/>
    </row>
    <row r="884" spans="1:2">
      <c r="A884" s="29"/>
      <c r="B884" s="30"/>
    </row>
    <row r="885" spans="1:2">
      <c r="A885" s="29"/>
      <c r="B885" s="30"/>
    </row>
    <row r="886" spans="1:2">
      <c r="A886" s="29"/>
      <c r="B886" s="30"/>
    </row>
    <row r="887" spans="1:2">
      <c r="A887" s="29"/>
      <c r="B887" s="30"/>
    </row>
    <row r="888" spans="1:2">
      <c r="A888" s="29"/>
      <c r="B888" s="30"/>
    </row>
    <row r="889" spans="1:2">
      <c r="A889" s="29"/>
      <c r="B889" s="30"/>
    </row>
    <row r="890" spans="1:2">
      <c r="A890" s="29"/>
      <c r="B890" s="30"/>
    </row>
    <row r="891" spans="1:2">
      <c r="A891" s="29"/>
      <c r="B891" s="30"/>
    </row>
    <row r="892" spans="1:2">
      <c r="A892" s="29"/>
      <c r="B892" s="30"/>
    </row>
    <row r="893" spans="1:2">
      <c r="A893" s="29"/>
      <c r="B893" s="30"/>
    </row>
    <row r="894" spans="1:2">
      <c r="A894" s="29"/>
      <c r="B894" s="30"/>
    </row>
    <row r="895" spans="1:2">
      <c r="A895" s="29"/>
      <c r="B895" s="30"/>
    </row>
    <row r="896" spans="1:2">
      <c r="A896" s="29"/>
      <c r="B896" s="30"/>
    </row>
    <row r="897" spans="1:13">
      <c r="A897" s="29"/>
      <c r="B897" s="30"/>
      <c r="M897" s="30"/>
    </row>
    <row r="898" spans="1:13">
      <c r="A898" s="29"/>
      <c r="B898" s="30"/>
    </row>
    <row r="899" spans="1:13">
      <c r="A899" s="29"/>
      <c r="B899" s="30"/>
    </row>
    <row r="900" spans="1:13">
      <c r="A900" s="29"/>
      <c r="B900" s="30"/>
    </row>
    <row r="901" spans="1:13">
      <c r="A901" s="29"/>
      <c r="B901" s="30"/>
    </row>
    <row r="902" spans="1:13">
      <c r="A902" s="29"/>
      <c r="B902" s="30"/>
    </row>
    <row r="903" spans="1:13">
      <c r="A903" s="29"/>
      <c r="B903" s="30"/>
    </row>
    <row r="904" spans="1:13">
      <c r="A904" s="29"/>
      <c r="B904" s="30"/>
    </row>
    <row r="905" spans="1:13">
      <c r="A905" s="29"/>
      <c r="B905" s="30"/>
    </row>
    <row r="906" spans="1:13">
      <c r="A906" s="29"/>
      <c r="B906" s="30"/>
    </row>
    <row r="907" spans="1:13">
      <c r="A907" s="29"/>
      <c r="B907" s="30"/>
    </row>
    <row r="908" spans="1:13">
      <c r="A908" s="29"/>
      <c r="B908" s="30"/>
    </row>
    <row r="909" spans="1:13">
      <c r="A909" s="29"/>
      <c r="B909" s="30"/>
    </row>
    <row r="910" spans="1:13">
      <c r="A910" s="29"/>
      <c r="B910" s="30"/>
    </row>
    <row r="911" spans="1:13">
      <c r="A911" s="29"/>
      <c r="B911" s="30"/>
    </row>
    <row r="912" spans="1:13">
      <c r="A912" s="29"/>
      <c r="B912" s="30"/>
    </row>
    <row r="913" spans="1:2">
      <c r="A913" s="29"/>
      <c r="B913" s="30"/>
    </row>
    <row r="914" spans="1:2">
      <c r="A914" s="29"/>
      <c r="B914" s="30"/>
    </row>
    <row r="915" spans="1:2">
      <c r="A915" s="29"/>
      <c r="B915" s="30"/>
    </row>
    <row r="916" spans="1:2">
      <c r="A916" s="29"/>
      <c r="B916" s="30"/>
    </row>
    <row r="917" spans="1:2">
      <c r="A917" s="29"/>
      <c r="B917" s="30"/>
    </row>
    <row r="918" spans="1:2">
      <c r="A918" s="29"/>
      <c r="B918" s="30"/>
    </row>
    <row r="919" spans="1:2">
      <c r="A919" s="29"/>
      <c r="B919" s="30"/>
    </row>
    <row r="920" spans="1:2">
      <c r="A920" s="29"/>
      <c r="B920" s="30"/>
    </row>
    <row r="921" spans="1:2">
      <c r="A921" s="29"/>
      <c r="B921" s="30"/>
    </row>
    <row r="922" spans="1:2">
      <c r="A922" s="29"/>
      <c r="B922" s="30"/>
    </row>
    <row r="923" spans="1:2">
      <c r="A923" s="29"/>
      <c r="B923" s="30"/>
    </row>
    <row r="924" spans="1:2">
      <c r="A924" s="29"/>
      <c r="B924" s="30"/>
    </row>
    <row r="925" spans="1:2">
      <c r="A925" s="29"/>
      <c r="B925" s="30"/>
    </row>
    <row r="926" spans="1:2">
      <c r="A926" s="29"/>
      <c r="B926" s="30"/>
    </row>
    <row r="927" spans="1:2">
      <c r="A927" s="29"/>
      <c r="B927" s="30"/>
    </row>
    <row r="928" spans="1:2">
      <c r="A928" s="29"/>
      <c r="B928" s="30"/>
    </row>
    <row r="929" spans="1:13">
      <c r="A929" s="29"/>
      <c r="B929" s="30"/>
      <c r="M929" s="30"/>
    </row>
    <row r="930" spans="1:13">
      <c r="A930" s="29"/>
      <c r="B930" s="30"/>
    </row>
    <row r="931" spans="1:13">
      <c r="A931" s="29"/>
      <c r="B931" s="30"/>
    </row>
    <row r="932" spans="1:13">
      <c r="A932" s="29"/>
      <c r="B932" s="30"/>
    </row>
    <row r="933" spans="1:13">
      <c r="A933" s="29"/>
      <c r="B933" s="30"/>
    </row>
    <row r="934" spans="1:13">
      <c r="A934" s="29"/>
      <c r="B934" s="30"/>
    </row>
    <row r="935" spans="1:13">
      <c r="A935" s="29"/>
      <c r="B935" s="30"/>
    </row>
    <row r="936" spans="1:13">
      <c r="A936" s="29"/>
      <c r="B936" s="30"/>
    </row>
    <row r="937" spans="1:13">
      <c r="A937" s="29"/>
      <c r="B937" s="30"/>
    </row>
    <row r="938" spans="1:13">
      <c r="A938" s="29"/>
      <c r="B938" s="30"/>
    </row>
    <row r="939" spans="1:13">
      <c r="A939" s="29"/>
      <c r="B939" s="30"/>
    </row>
    <row r="940" spans="1:13">
      <c r="A940" s="29"/>
      <c r="B940" s="30"/>
    </row>
    <row r="941" spans="1:13">
      <c r="A941" s="29"/>
      <c r="B941" s="30"/>
    </row>
    <row r="942" spans="1:13">
      <c r="A942" s="29"/>
      <c r="B942" s="30"/>
    </row>
    <row r="943" spans="1:13">
      <c r="A943" s="29"/>
      <c r="B943" s="30"/>
    </row>
    <row r="944" spans="1:13">
      <c r="A944" s="29"/>
      <c r="B944" s="30"/>
    </row>
    <row r="945" spans="1:2">
      <c r="A945" s="29"/>
      <c r="B945" s="30"/>
    </row>
    <row r="946" spans="1:2">
      <c r="A946" s="29"/>
      <c r="B946" s="30"/>
    </row>
    <row r="947" spans="1:2">
      <c r="A947" s="29"/>
      <c r="B947" s="30"/>
    </row>
    <row r="948" spans="1:2">
      <c r="A948" s="29"/>
      <c r="B948" s="30"/>
    </row>
    <row r="949" spans="1:2">
      <c r="A949" s="29"/>
      <c r="B949" s="30"/>
    </row>
    <row r="950" spans="1:2">
      <c r="A950" s="29"/>
      <c r="B950" s="30"/>
    </row>
    <row r="951" spans="1:2">
      <c r="A951" s="29"/>
      <c r="B951" s="30"/>
    </row>
    <row r="952" spans="1:2">
      <c r="A952" s="29"/>
      <c r="B952" s="30"/>
    </row>
    <row r="953" spans="1:2">
      <c r="A953" s="29"/>
      <c r="B953" s="30"/>
    </row>
    <row r="954" spans="1:2">
      <c r="A954" s="29"/>
      <c r="B954" s="30"/>
    </row>
    <row r="955" spans="1:2">
      <c r="A955" s="29"/>
      <c r="B955" s="30"/>
    </row>
    <row r="956" spans="1:2">
      <c r="A956" s="29"/>
      <c r="B956" s="30"/>
    </row>
    <row r="957" spans="1:2">
      <c r="A957" s="29"/>
      <c r="B957" s="30"/>
    </row>
    <row r="958" spans="1:2">
      <c r="A958" s="29"/>
      <c r="B958" s="30"/>
    </row>
    <row r="959" spans="1:2">
      <c r="A959" s="29"/>
      <c r="B959" s="30"/>
    </row>
    <row r="960" spans="1:2">
      <c r="A960" s="29"/>
      <c r="B960" s="30"/>
    </row>
    <row r="961" spans="1:13">
      <c r="A961" s="29"/>
      <c r="B961" s="30"/>
    </row>
    <row r="962" spans="1:13">
      <c r="A962" s="29"/>
      <c r="B962" s="30"/>
    </row>
    <row r="963" spans="1:13">
      <c r="A963" s="29"/>
      <c r="B963" s="30"/>
    </row>
    <row r="964" spans="1:13">
      <c r="A964" s="29"/>
      <c r="B964" s="30"/>
    </row>
    <row r="965" spans="1:13">
      <c r="A965" s="29"/>
      <c r="B965" s="30"/>
    </row>
    <row r="966" spans="1:13">
      <c r="A966" s="29"/>
      <c r="B966" s="30"/>
    </row>
    <row r="967" spans="1:13">
      <c r="A967" s="29"/>
      <c r="B967" s="30"/>
    </row>
    <row r="968" spans="1:13">
      <c r="A968" s="29"/>
      <c r="B968" s="30"/>
    </row>
    <row r="969" spans="1:13">
      <c r="A969" s="29"/>
      <c r="B969" s="30"/>
    </row>
    <row r="970" spans="1:13">
      <c r="A970" s="29"/>
      <c r="B970" s="30"/>
    </row>
    <row r="971" spans="1:13">
      <c r="A971" s="29"/>
      <c r="B971" s="30"/>
    </row>
    <row r="972" spans="1:13">
      <c r="A972" s="29"/>
      <c r="B972" s="30"/>
    </row>
    <row r="973" spans="1:13">
      <c r="A973" s="29"/>
      <c r="B973" s="30"/>
      <c r="M973" s="30"/>
    </row>
    <row r="974" spans="1:13">
      <c r="A974" s="29"/>
      <c r="B974" s="30"/>
    </row>
    <row r="975" spans="1:13">
      <c r="A975" s="29"/>
      <c r="B975" s="30"/>
    </row>
    <row r="976" spans="1:13">
      <c r="A976" s="29"/>
      <c r="B976" s="30"/>
    </row>
    <row r="977" spans="1:13">
      <c r="A977" s="29"/>
      <c r="B977" s="30"/>
    </row>
    <row r="978" spans="1:13">
      <c r="A978" s="29"/>
      <c r="B978" s="30"/>
      <c r="M978" s="30"/>
    </row>
    <row r="979" spans="1:13">
      <c r="A979" s="29"/>
      <c r="B979" s="30"/>
    </row>
    <row r="980" spans="1:13">
      <c r="A980" s="29"/>
      <c r="B980" s="30"/>
    </row>
    <row r="981" spans="1:13">
      <c r="A981" s="29"/>
      <c r="B981" s="30"/>
    </row>
    <row r="982" spans="1:13">
      <c r="A982" s="29"/>
      <c r="B982" s="30"/>
    </row>
    <row r="983" spans="1:13">
      <c r="A983" s="29"/>
      <c r="B983" s="30"/>
    </row>
    <row r="984" spans="1:13">
      <c r="A984" s="29"/>
      <c r="B984" s="30"/>
    </row>
    <row r="985" spans="1:13">
      <c r="A985" s="29"/>
      <c r="B985" s="30"/>
    </row>
    <row r="986" spans="1:13">
      <c r="A986" s="29"/>
      <c r="B986" s="30"/>
    </row>
    <row r="987" spans="1:13">
      <c r="A987" s="29"/>
      <c r="B987" s="30"/>
    </row>
    <row r="988" spans="1:13">
      <c r="A988" s="29"/>
      <c r="B988" s="30"/>
    </row>
    <row r="989" spans="1:13">
      <c r="A989" s="29"/>
      <c r="B989" s="30"/>
    </row>
    <row r="990" spans="1:13">
      <c r="A990" s="29"/>
      <c r="B990" s="30"/>
    </row>
    <row r="991" spans="1:13">
      <c r="A991" s="29"/>
      <c r="B991" s="30"/>
    </row>
    <row r="992" spans="1:13">
      <c r="A992" s="29"/>
      <c r="B992" s="30"/>
    </row>
    <row r="993" spans="1:2">
      <c r="A993" s="29"/>
      <c r="B993" s="30"/>
    </row>
    <row r="994" spans="1:2">
      <c r="A994" s="29"/>
      <c r="B994" s="30"/>
    </row>
    <row r="995" spans="1:2">
      <c r="A995" s="29"/>
      <c r="B995" s="30"/>
    </row>
    <row r="996" spans="1:2">
      <c r="A996" s="29"/>
      <c r="B996" s="30"/>
    </row>
    <row r="997" spans="1:2">
      <c r="A997" s="29"/>
      <c r="B997" s="30"/>
    </row>
    <row r="998" spans="1:2">
      <c r="A998" s="29"/>
      <c r="B998" s="30"/>
    </row>
    <row r="999" spans="1:2">
      <c r="A999" s="29"/>
      <c r="B999" s="30"/>
    </row>
    <row r="1000" spans="1:2">
      <c r="A1000" s="29"/>
      <c r="B1000" s="30"/>
    </row>
    <row r="1001" spans="1:2">
      <c r="A1001" s="29"/>
      <c r="B1001" s="30"/>
    </row>
    <row r="1002" spans="1:2">
      <c r="A1002" s="29"/>
      <c r="B1002" s="30"/>
    </row>
    <row r="1003" spans="1:2">
      <c r="A1003" s="29"/>
      <c r="B1003" s="30"/>
    </row>
    <row r="1004" spans="1:2">
      <c r="A1004" s="29"/>
      <c r="B1004" s="30"/>
    </row>
    <row r="1005" spans="1:2">
      <c r="A1005" s="29"/>
      <c r="B1005" s="30"/>
    </row>
    <row r="1006" spans="1:2">
      <c r="A1006" s="29"/>
      <c r="B1006" s="30"/>
    </row>
    <row r="1007" spans="1:2">
      <c r="A1007" s="29"/>
      <c r="B1007" s="30"/>
    </row>
    <row r="1008" spans="1:2">
      <c r="A1008" s="29"/>
      <c r="B1008" s="30"/>
    </row>
    <row r="1009" spans="1:2">
      <c r="A1009" s="29"/>
      <c r="B1009" s="30"/>
    </row>
    <row r="1010" spans="1:2">
      <c r="A1010" s="29"/>
      <c r="B1010" s="30"/>
    </row>
    <row r="1011" spans="1:2">
      <c r="A1011" s="29"/>
      <c r="B1011" s="30"/>
    </row>
    <row r="1012" spans="1:2">
      <c r="A1012" s="29"/>
      <c r="B1012" s="30"/>
    </row>
    <row r="1013" spans="1:2">
      <c r="A1013" s="29"/>
      <c r="B1013" s="30"/>
    </row>
    <row r="1014" spans="1:2">
      <c r="A1014" s="29"/>
      <c r="B1014" s="30"/>
    </row>
    <row r="1015" spans="1:2">
      <c r="A1015" s="29"/>
      <c r="B1015" s="30"/>
    </row>
    <row r="1016" spans="1:2">
      <c r="A1016" s="29"/>
      <c r="B1016" s="30"/>
    </row>
    <row r="1017" spans="1:2">
      <c r="A1017" s="29"/>
      <c r="B1017" s="30"/>
    </row>
    <row r="1018" spans="1:2">
      <c r="A1018" s="29"/>
      <c r="B1018" s="30"/>
    </row>
    <row r="1019" spans="1:2">
      <c r="A1019" s="29"/>
      <c r="B1019" s="30"/>
    </row>
    <row r="1020" spans="1:2">
      <c r="A1020" s="29"/>
      <c r="B1020" s="30"/>
    </row>
    <row r="1021" spans="1:2">
      <c r="A1021" s="29"/>
      <c r="B1021" s="30"/>
    </row>
    <row r="1022" spans="1:2">
      <c r="A1022" s="29"/>
      <c r="B1022" s="30"/>
    </row>
    <row r="1023" spans="1:2">
      <c r="A1023" s="29"/>
      <c r="B1023" s="30"/>
    </row>
    <row r="1024" spans="1:2">
      <c r="A1024" s="29"/>
      <c r="B1024" s="30"/>
    </row>
    <row r="1025" spans="1:13">
      <c r="A1025" s="29"/>
      <c r="B1025" s="30"/>
    </row>
    <row r="1026" spans="1:13">
      <c r="A1026" s="29"/>
      <c r="B1026" s="30"/>
    </row>
    <row r="1027" spans="1:13">
      <c r="A1027" s="29"/>
      <c r="B1027" s="30"/>
    </row>
    <row r="1028" spans="1:13">
      <c r="A1028" s="29"/>
      <c r="B1028" s="30"/>
    </row>
    <row r="1029" spans="1:13">
      <c r="A1029" s="29"/>
      <c r="B1029" s="30"/>
    </row>
    <row r="1030" spans="1:13">
      <c r="A1030" s="29"/>
      <c r="B1030" s="30"/>
    </row>
    <row r="1031" spans="1:13">
      <c r="A1031" s="29"/>
      <c r="B1031" s="30"/>
    </row>
    <row r="1032" spans="1:13">
      <c r="A1032" s="29"/>
      <c r="B1032" s="30"/>
    </row>
    <row r="1033" spans="1:13">
      <c r="A1033" s="29"/>
      <c r="B1033" s="30"/>
    </row>
    <row r="1034" spans="1:13">
      <c r="A1034" s="29"/>
      <c r="B1034" s="30"/>
    </row>
    <row r="1035" spans="1:13">
      <c r="A1035" s="29"/>
      <c r="B1035" s="30"/>
    </row>
    <row r="1036" spans="1:13">
      <c r="A1036" s="29"/>
      <c r="B1036" s="30"/>
    </row>
    <row r="1037" spans="1:13">
      <c r="A1037" s="29"/>
      <c r="B1037" s="30"/>
    </row>
    <row r="1038" spans="1:13">
      <c r="A1038" s="29"/>
      <c r="B1038" s="30"/>
    </row>
    <row r="1039" spans="1:13">
      <c r="A1039" s="29"/>
      <c r="B1039" s="30"/>
    </row>
    <row r="1040" spans="1:13">
      <c r="A1040" s="29"/>
      <c r="B1040" s="30"/>
      <c r="M1040" s="30"/>
    </row>
    <row r="1041" spans="1:2">
      <c r="A1041" s="29"/>
      <c r="B1041" s="30"/>
    </row>
    <row r="1042" spans="1:2">
      <c r="A1042" s="29"/>
      <c r="B1042" s="30"/>
    </row>
    <row r="1043" spans="1:2">
      <c r="A1043" s="29"/>
      <c r="B1043" s="30"/>
    </row>
    <row r="1044" spans="1:2">
      <c r="A1044" s="29"/>
      <c r="B1044" s="30"/>
    </row>
    <row r="1045" spans="1:2">
      <c r="A1045" s="29"/>
      <c r="B1045" s="30"/>
    </row>
    <row r="1046" spans="1:2">
      <c r="A1046" s="29"/>
      <c r="B1046" s="30"/>
    </row>
    <row r="1047" spans="1:2">
      <c r="A1047" s="29"/>
      <c r="B1047" s="30"/>
    </row>
    <row r="1048" spans="1:2">
      <c r="A1048" s="29"/>
      <c r="B1048" s="30"/>
    </row>
    <row r="1049" spans="1:2">
      <c r="A1049" s="29"/>
      <c r="B1049" s="30"/>
    </row>
    <row r="1050" spans="1:2">
      <c r="A1050" s="29"/>
      <c r="B1050" s="30"/>
    </row>
    <row r="1051" spans="1:2">
      <c r="A1051" s="29"/>
      <c r="B1051" s="30"/>
    </row>
    <row r="1052" spans="1:2">
      <c r="A1052" s="29"/>
      <c r="B1052" s="30"/>
    </row>
    <row r="1053" spans="1:2">
      <c r="A1053" s="29"/>
      <c r="B1053" s="30"/>
    </row>
    <row r="1054" spans="1:2">
      <c r="A1054" s="29"/>
      <c r="B1054" s="30"/>
    </row>
    <row r="1055" spans="1:2">
      <c r="A1055" s="29"/>
      <c r="B1055" s="30"/>
    </row>
    <row r="1056" spans="1:2">
      <c r="A1056" s="29"/>
      <c r="B1056" s="30"/>
    </row>
    <row r="1057" spans="1:13">
      <c r="A1057" s="29"/>
      <c r="B1057" s="30"/>
    </row>
    <row r="1058" spans="1:13">
      <c r="A1058" s="29"/>
      <c r="B1058" s="30"/>
    </row>
    <row r="1059" spans="1:13">
      <c r="A1059" s="29"/>
      <c r="B1059" s="30"/>
    </row>
    <row r="1060" spans="1:13">
      <c r="A1060" s="29"/>
      <c r="B1060" s="30"/>
    </row>
    <row r="1061" spans="1:13">
      <c r="A1061" s="29"/>
      <c r="B1061" s="30"/>
    </row>
    <row r="1062" spans="1:13">
      <c r="A1062" s="29"/>
      <c r="B1062" s="30"/>
    </row>
    <row r="1063" spans="1:13">
      <c r="A1063" s="29"/>
      <c r="B1063" s="30"/>
    </row>
    <row r="1064" spans="1:13">
      <c r="A1064" s="29"/>
      <c r="B1064" s="30"/>
    </row>
    <row r="1065" spans="1:13">
      <c r="A1065" s="29"/>
      <c r="B1065" s="30"/>
    </row>
    <row r="1066" spans="1:13">
      <c r="A1066" s="29"/>
      <c r="B1066" s="30"/>
    </row>
    <row r="1067" spans="1:13">
      <c r="A1067" s="29"/>
      <c r="B1067" s="30"/>
    </row>
    <row r="1068" spans="1:13">
      <c r="A1068" s="29"/>
      <c r="B1068" s="30"/>
    </row>
    <row r="1069" spans="1:13">
      <c r="A1069" s="29"/>
      <c r="B1069" s="30"/>
    </row>
    <row r="1070" spans="1:13">
      <c r="A1070" s="29"/>
      <c r="B1070" s="30"/>
      <c r="M1070" s="30"/>
    </row>
    <row r="1071" spans="1:13">
      <c r="A1071" s="29"/>
      <c r="B1071" s="30"/>
    </row>
    <row r="1072" spans="1:13">
      <c r="A1072" s="29"/>
      <c r="B1072" s="30"/>
    </row>
    <row r="1073" spans="1:2">
      <c r="A1073" s="29"/>
      <c r="B1073" s="30"/>
    </row>
    <row r="1074" spans="1:2">
      <c r="A1074" s="29"/>
      <c r="B1074" s="30"/>
    </row>
    <row r="1075" spans="1:2">
      <c r="A1075" s="29"/>
      <c r="B1075" s="30"/>
    </row>
    <row r="1076" spans="1:2">
      <c r="A1076" s="29"/>
      <c r="B1076" s="30"/>
    </row>
    <row r="1077" spans="1:2">
      <c r="A1077" s="29"/>
      <c r="B1077" s="30"/>
    </row>
    <row r="1078" spans="1:2">
      <c r="A1078" s="29"/>
      <c r="B1078" s="30"/>
    </row>
    <row r="1079" spans="1:2">
      <c r="A1079" s="29"/>
      <c r="B1079" s="30"/>
    </row>
    <row r="1080" spans="1:2">
      <c r="A1080" s="29"/>
      <c r="B1080" s="30"/>
    </row>
    <row r="1081" spans="1:2">
      <c r="A1081" s="29"/>
      <c r="B1081" s="30"/>
    </row>
    <row r="1082" spans="1:2">
      <c r="A1082" s="29"/>
      <c r="B1082" s="30"/>
    </row>
    <row r="1083" spans="1:2">
      <c r="A1083" s="29"/>
      <c r="B1083" s="30"/>
    </row>
    <row r="1084" spans="1:2">
      <c r="A1084" s="29"/>
      <c r="B1084" s="30"/>
    </row>
    <row r="1085" spans="1:2">
      <c r="A1085" s="29"/>
      <c r="B1085" s="30"/>
    </row>
    <row r="1086" spans="1:2">
      <c r="A1086" s="29"/>
      <c r="B1086" s="30"/>
    </row>
    <row r="1087" spans="1:2">
      <c r="A1087" s="29"/>
      <c r="B1087" s="30"/>
    </row>
    <row r="1088" spans="1:2">
      <c r="A1088" s="29"/>
      <c r="B1088" s="30"/>
    </row>
    <row r="1089" spans="1:2">
      <c r="A1089" s="29"/>
      <c r="B1089" s="30"/>
    </row>
    <row r="1090" spans="1:2">
      <c r="A1090" s="29"/>
      <c r="B1090" s="30"/>
    </row>
    <row r="1091" spans="1:2">
      <c r="A1091" s="29"/>
      <c r="B1091" s="30"/>
    </row>
    <row r="1092" spans="1:2">
      <c r="A1092" s="29"/>
      <c r="B1092" s="30"/>
    </row>
    <row r="1093" spans="1:2">
      <c r="A1093" s="29"/>
      <c r="B1093" s="30"/>
    </row>
    <row r="1094" spans="1:2">
      <c r="A1094" s="29"/>
      <c r="B1094" s="30"/>
    </row>
    <row r="1095" spans="1:2">
      <c r="A1095" s="29"/>
      <c r="B1095" s="30"/>
    </row>
    <row r="1096" spans="1:2">
      <c r="A1096" s="29"/>
      <c r="B1096" s="30"/>
    </row>
    <row r="1097" spans="1:2">
      <c r="A1097" s="29"/>
      <c r="B1097" s="30"/>
    </row>
    <row r="1098" spans="1:2">
      <c r="A1098" s="29"/>
      <c r="B1098" s="30"/>
    </row>
    <row r="1099" spans="1:2">
      <c r="A1099" s="29"/>
      <c r="B1099" s="30"/>
    </row>
    <row r="1100" spans="1:2">
      <c r="A1100" s="29"/>
      <c r="B1100" s="30"/>
    </row>
    <row r="1101" spans="1:2">
      <c r="A1101" s="29"/>
      <c r="B1101" s="30"/>
    </row>
    <row r="1102" spans="1:2">
      <c r="A1102" s="29"/>
      <c r="B1102" s="30"/>
    </row>
    <row r="1103" spans="1:2">
      <c r="A1103" s="29"/>
      <c r="B1103" s="30"/>
    </row>
    <row r="1104" spans="1:2">
      <c r="A1104" s="29"/>
      <c r="B1104" s="30"/>
    </row>
    <row r="1105" spans="1:2">
      <c r="A1105" s="29"/>
      <c r="B1105" s="30"/>
    </row>
    <row r="1106" spans="1:2">
      <c r="A1106" s="29"/>
      <c r="B1106" s="30"/>
    </row>
    <row r="1107" spans="1:2">
      <c r="A1107" s="29"/>
      <c r="B1107" s="30"/>
    </row>
    <row r="1108" spans="1:2">
      <c r="A1108" s="29"/>
      <c r="B1108" s="30"/>
    </row>
    <row r="1109" spans="1:2">
      <c r="A1109" s="29"/>
      <c r="B1109" s="30"/>
    </row>
    <row r="1110" spans="1:2">
      <c r="A1110" s="29"/>
      <c r="B1110" s="30"/>
    </row>
    <row r="1111" spans="1:2">
      <c r="A1111" s="29"/>
      <c r="B1111" s="30"/>
    </row>
    <row r="1112" spans="1:2">
      <c r="A1112" s="29"/>
      <c r="B1112" s="30"/>
    </row>
    <row r="1113" spans="1:2">
      <c r="A1113" s="29"/>
      <c r="B1113" s="30"/>
    </row>
    <row r="1114" spans="1:2">
      <c r="A1114" s="29"/>
      <c r="B1114" s="30"/>
    </row>
    <row r="1115" spans="1:2">
      <c r="A1115" s="29"/>
      <c r="B1115" s="30"/>
    </row>
    <row r="1116" spans="1:2">
      <c r="A1116" s="29"/>
      <c r="B1116" s="30"/>
    </row>
    <row r="1117" spans="1:2">
      <c r="A1117" s="29"/>
      <c r="B1117" s="30"/>
    </row>
    <row r="1118" spans="1:2">
      <c r="A1118" s="29"/>
      <c r="B1118" s="30"/>
    </row>
    <row r="1119" spans="1:2">
      <c r="A1119" s="29"/>
      <c r="B1119" s="30"/>
    </row>
    <row r="1120" spans="1:2">
      <c r="A1120" s="29"/>
      <c r="B1120" s="30"/>
    </row>
    <row r="1121" spans="1:2">
      <c r="A1121" s="29"/>
      <c r="B1121" s="30"/>
    </row>
    <row r="1122" spans="1:2">
      <c r="A1122" s="29"/>
      <c r="B1122" s="30"/>
    </row>
    <row r="1123" spans="1:2">
      <c r="A1123" s="29"/>
      <c r="B1123" s="30"/>
    </row>
    <row r="1124" spans="1:2">
      <c r="A1124" s="29"/>
      <c r="B1124" s="30"/>
    </row>
    <row r="1125" spans="1:2">
      <c r="A1125" s="29"/>
      <c r="B1125" s="30"/>
    </row>
    <row r="1126" spans="1:2">
      <c r="A1126" s="29"/>
      <c r="B1126" s="30"/>
    </row>
    <row r="1127" spans="1:2">
      <c r="A1127" s="29"/>
      <c r="B1127" s="30"/>
    </row>
    <row r="1128" spans="1:2">
      <c r="A1128" s="29"/>
      <c r="B1128" s="30"/>
    </row>
    <row r="1129" spans="1:2">
      <c r="A1129" s="29"/>
      <c r="B1129" s="30"/>
    </row>
    <row r="1130" spans="1:2">
      <c r="A1130" s="29"/>
      <c r="B1130" s="30"/>
    </row>
    <row r="1131" spans="1:2">
      <c r="A1131" s="29"/>
      <c r="B1131" s="30"/>
    </row>
    <row r="1132" spans="1:2">
      <c r="A1132" s="29"/>
      <c r="B1132" s="30"/>
    </row>
    <row r="1133" spans="1:2">
      <c r="A1133" s="29"/>
      <c r="B1133" s="30"/>
    </row>
    <row r="1134" spans="1:2">
      <c r="A1134" s="29"/>
      <c r="B1134" s="30"/>
    </row>
    <row r="1135" spans="1:2">
      <c r="A1135" s="29"/>
      <c r="B1135" s="30"/>
    </row>
    <row r="1136" spans="1:2">
      <c r="A1136" s="29"/>
      <c r="B1136" s="30"/>
    </row>
    <row r="1137" spans="1:13">
      <c r="A1137" s="29"/>
      <c r="B1137" s="30"/>
    </row>
    <row r="1138" spans="1:13">
      <c r="A1138" s="29"/>
      <c r="B1138" s="30"/>
    </row>
    <row r="1139" spans="1:13">
      <c r="A1139" s="29"/>
      <c r="B1139" s="30"/>
    </row>
    <row r="1140" spans="1:13">
      <c r="A1140" s="29"/>
      <c r="B1140" s="30"/>
    </row>
    <row r="1141" spans="1:13">
      <c r="A1141" s="29"/>
      <c r="B1141" s="30"/>
    </row>
    <row r="1142" spans="1:13">
      <c r="A1142" s="29"/>
      <c r="B1142" s="30"/>
    </row>
    <row r="1143" spans="1:13">
      <c r="A1143" s="29"/>
      <c r="B1143" s="30"/>
    </row>
    <row r="1144" spans="1:13">
      <c r="A1144" s="29"/>
      <c r="B1144" s="30"/>
    </row>
    <row r="1145" spans="1:13">
      <c r="A1145" s="29"/>
      <c r="B1145" s="30"/>
    </row>
    <row r="1146" spans="1:13">
      <c r="A1146" s="29"/>
      <c r="B1146" s="30"/>
    </row>
    <row r="1147" spans="1:13">
      <c r="A1147" s="29"/>
      <c r="B1147" s="30"/>
    </row>
    <row r="1148" spans="1:13">
      <c r="A1148" s="29"/>
      <c r="B1148" s="30"/>
      <c r="M1148" s="30"/>
    </row>
    <row r="1149" spans="1:13">
      <c r="A1149" s="29"/>
      <c r="B1149" s="30"/>
    </row>
    <row r="1150" spans="1:13">
      <c r="A1150" s="29"/>
      <c r="B1150" s="30"/>
    </row>
    <row r="1151" spans="1:13">
      <c r="A1151" s="29"/>
      <c r="B1151" s="30"/>
    </row>
    <row r="1152" spans="1:13">
      <c r="A1152" s="29"/>
      <c r="B1152" s="30"/>
    </row>
    <row r="1153" spans="1:2">
      <c r="A1153" s="29"/>
      <c r="B1153" s="30"/>
    </row>
    <row r="1154" spans="1:2">
      <c r="A1154" s="29"/>
      <c r="B1154" s="30"/>
    </row>
    <row r="1155" spans="1:2">
      <c r="A1155" s="29"/>
      <c r="B1155" s="30"/>
    </row>
    <row r="1156" spans="1:2">
      <c r="A1156" s="29"/>
      <c r="B1156" s="30"/>
    </row>
    <row r="1157" spans="1:2">
      <c r="A1157" s="29"/>
      <c r="B1157" s="30"/>
    </row>
    <row r="1158" spans="1:2">
      <c r="A1158" s="29"/>
      <c r="B1158" s="30"/>
    </row>
    <row r="1159" spans="1:2">
      <c r="A1159" s="29"/>
      <c r="B1159" s="30"/>
    </row>
    <row r="1160" spans="1:2">
      <c r="A1160" s="29"/>
      <c r="B1160" s="30"/>
    </row>
    <row r="1161" spans="1:2">
      <c r="A1161" s="29"/>
      <c r="B1161" s="30"/>
    </row>
    <row r="1162" spans="1:2">
      <c r="A1162" s="29"/>
      <c r="B1162" s="30"/>
    </row>
    <row r="1163" spans="1:2">
      <c r="A1163" s="29"/>
      <c r="B1163" s="30"/>
    </row>
    <row r="1164" spans="1:2">
      <c r="A1164" s="29"/>
      <c r="B1164" s="30"/>
    </row>
    <row r="1165" spans="1:2">
      <c r="A1165" s="29"/>
      <c r="B1165" s="30"/>
    </row>
    <row r="1166" spans="1:2">
      <c r="A1166" s="29"/>
      <c r="B1166" s="30"/>
    </row>
    <row r="1167" spans="1:2">
      <c r="A1167" s="29"/>
      <c r="B1167" s="30"/>
    </row>
    <row r="1168" spans="1:2">
      <c r="A1168" s="29"/>
      <c r="B1168" s="30"/>
    </row>
    <row r="1169" spans="1:13">
      <c r="A1169" s="29"/>
      <c r="B1169" s="30"/>
    </row>
    <row r="1170" spans="1:13">
      <c r="A1170" s="29"/>
      <c r="B1170" s="30"/>
    </row>
    <row r="1171" spans="1:13">
      <c r="A1171" s="29"/>
      <c r="B1171" s="30"/>
      <c r="M1171" s="30"/>
    </row>
    <row r="1172" spans="1:13">
      <c r="A1172" s="29"/>
      <c r="B1172" s="30"/>
    </row>
    <row r="1173" spans="1:13">
      <c r="A1173" s="29"/>
      <c r="B1173" s="30"/>
    </row>
    <row r="1174" spans="1:13">
      <c r="A1174" s="29"/>
      <c r="B1174" s="30"/>
      <c r="M1174" s="30"/>
    </row>
    <row r="1175" spans="1:13">
      <c r="A1175" s="29"/>
      <c r="B1175" s="30"/>
    </row>
    <row r="1176" spans="1:13">
      <c r="A1176" s="29"/>
      <c r="B1176" s="30"/>
    </row>
    <row r="1177" spans="1:13">
      <c r="A1177" s="29"/>
      <c r="B1177" s="30"/>
    </row>
    <row r="1178" spans="1:13">
      <c r="A1178" s="29"/>
      <c r="B1178" s="30"/>
    </row>
    <row r="1179" spans="1:13">
      <c r="A1179" s="29"/>
      <c r="B1179" s="30"/>
    </row>
    <row r="1180" spans="1:13">
      <c r="A1180" s="29"/>
      <c r="B1180" s="30"/>
    </row>
    <row r="1181" spans="1:13">
      <c r="A1181" s="29"/>
      <c r="B1181" s="30"/>
    </row>
    <row r="1182" spans="1:13">
      <c r="A1182" s="29"/>
      <c r="B1182" s="30"/>
    </row>
    <row r="1183" spans="1:13">
      <c r="A1183" s="29"/>
      <c r="B1183" s="30"/>
    </row>
    <row r="1184" spans="1:13">
      <c r="A1184" s="29"/>
      <c r="B1184" s="30"/>
    </row>
    <row r="1185" spans="1:2">
      <c r="A1185" s="29"/>
      <c r="B1185" s="30"/>
    </row>
    <row r="1186" spans="1:2">
      <c r="A1186" s="29"/>
      <c r="B1186" s="30"/>
    </row>
    <row r="1187" spans="1:2">
      <c r="A1187" s="29"/>
      <c r="B1187" s="30"/>
    </row>
    <row r="1188" spans="1:2">
      <c r="A1188" s="29"/>
      <c r="B1188" s="30"/>
    </row>
    <row r="1189" spans="1:2">
      <c r="A1189" s="29"/>
      <c r="B1189" s="30"/>
    </row>
    <row r="1190" spans="1:2">
      <c r="A1190" s="29"/>
      <c r="B1190" s="30"/>
    </row>
    <row r="1191" spans="1:2">
      <c r="A1191" s="29"/>
      <c r="B1191" s="30"/>
    </row>
    <row r="1192" spans="1:2">
      <c r="A1192" s="29"/>
      <c r="B1192" s="30"/>
    </row>
    <row r="1193" spans="1:2">
      <c r="A1193" s="29"/>
      <c r="B1193" s="30"/>
    </row>
    <row r="1194" spans="1:2">
      <c r="A1194" s="29"/>
      <c r="B1194" s="30"/>
    </row>
    <row r="1195" spans="1:2">
      <c r="A1195" s="29"/>
      <c r="B1195" s="30"/>
    </row>
    <row r="1196" spans="1:2">
      <c r="A1196" s="29"/>
      <c r="B1196" s="30"/>
    </row>
    <row r="1197" spans="1:2">
      <c r="A1197" s="29"/>
      <c r="B1197" s="30"/>
    </row>
    <row r="1198" spans="1:2">
      <c r="A1198" s="29"/>
      <c r="B1198" s="30"/>
    </row>
    <row r="1199" spans="1:2">
      <c r="A1199" s="29"/>
      <c r="B1199" s="30"/>
    </row>
    <row r="1200" spans="1:2">
      <c r="A1200" s="29"/>
      <c r="B1200" s="30"/>
    </row>
    <row r="1201" spans="1:2">
      <c r="A1201" s="29"/>
      <c r="B1201" s="30"/>
    </row>
    <row r="1202" spans="1:2">
      <c r="A1202" s="29"/>
      <c r="B1202" s="30"/>
    </row>
    <row r="1203" spans="1:2">
      <c r="A1203" s="29"/>
      <c r="B1203" s="30"/>
    </row>
    <row r="1204" spans="1:2">
      <c r="A1204" s="29"/>
      <c r="B1204" s="30"/>
    </row>
    <row r="1205" spans="1:2">
      <c r="A1205" s="29"/>
      <c r="B1205" s="30"/>
    </row>
    <row r="1206" spans="1:2">
      <c r="A1206" s="29"/>
      <c r="B1206" s="30"/>
    </row>
    <row r="1207" spans="1:2">
      <c r="A1207" s="29"/>
      <c r="B1207" s="30"/>
    </row>
    <row r="1208" spans="1:2">
      <c r="A1208" s="29"/>
      <c r="B1208" s="30"/>
    </row>
    <row r="1209" spans="1:2">
      <c r="A1209" s="29"/>
      <c r="B1209" s="30"/>
    </row>
    <row r="1210" spans="1:2">
      <c r="A1210" s="29"/>
      <c r="B1210" s="30"/>
    </row>
    <row r="1211" spans="1:2">
      <c r="A1211" s="29"/>
      <c r="B1211" s="30"/>
    </row>
    <row r="1212" spans="1:2">
      <c r="A1212" s="29"/>
      <c r="B1212" s="30"/>
    </row>
    <row r="1213" spans="1:2">
      <c r="A1213" s="29"/>
      <c r="B1213" s="30"/>
    </row>
    <row r="1214" spans="1:2">
      <c r="A1214" s="29"/>
      <c r="B1214" s="30"/>
    </row>
    <row r="1215" spans="1:2">
      <c r="A1215" s="29"/>
      <c r="B1215" s="30"/>
    </row>
    <row r="1216" spans="1:2">
      <c r="A1216" s="29"/>
      <c r="B1216" s="30"/>
    </row>
    <row r="1217" spans="1:2">
      <c r="A1217" s="29"/>
      <c r="B1217" s="30"/>
    </row>
    <row r="1218" spans="1:2">
      <c r="A1218" s="29"/>
      <c r="B1218" s="30"/>
    </row>
    <row r="1219" spans="1:2">
      <c r="A1219" s="29"/>
      <c r="B1219" s="30"/>
    </row>
    <row r="1220" spans="1:2">
      <c r="A1220" s="29"/>
      <c r="B1220" s="30"/>
    </row>
    <row r="1221" spans="1:2">
      <c r="A1221" s="29"/>
      <c r="B1221" s="30"/>
    </row>
    <row r="1222" spans="1:2">
      <c r="A1222" s="29"/>
      <c r="B1222" s="30"/>
    </row>
    <row r="1223" spans="1:2">
      <c r="A1223" s="29"/>
      <c r="B1223" s="30"/>
    </row>
    <row r="1224" spans="1:2">
      <c r="A1224" s="29"/>
      <c r="B1224" s="30"/>
    </row>
    <row r="1225" spans="1:2">
      <c r="A1225" s="29"/>
      <c r="B1225" s="30"/>
    </row>
    <row r="1226" spans="1:2">
      <c r="A1226" s="29"/>
      <c r="B1226" s="30"/>
    </row>
    <row r="1227" spans="1:2">
      <c r="A1227" s="29"/>
      <c r="B1227" s="30"/>
    </row>
    <row r="1228" spans="1:2">
      <c r="A1228" s="29"/>
      <c r="B1228" s="30"/>
    </row>
    <row r="1229" spans="1:2">
      <c r="A1229" s="29"/>
      <c r="B1229" s="30"/>
    </row>
    <row r="1230" spans="1:2">
      <c r="A1230" s="29"/>
      <c r="B1230" s="30"/>
    </row>
    <row r="1231" spans="1:2">
      <c r="A1231" s="29"/>
      <c r="B1231" s="30"/>
    </row>
    <row r="1232" spans="1:2">
      <c r="A1232" s="29"/>
      <c r="B1232" s="30"/>
    </row>
    <row r="1233" spans="1:2">
      <c r="A1233" s="29"/>
      <c r="B1233" s="30"/>
    </row>
    <row r="1234" spans="1:2">
      <c r="A1234" s="29"/>
      <c r="B1234" s="30"/>
    </row>
    <row r="1235" spans="1:2">
      <c r="A1235" s="29"/>
      <c r="B1235" s="30"/>
    </row>
    <row r="1236" spans="1:2">
      <c r="A1236" s="29"/>
      <c r="B1236" s="30"/>
    </row>
    <row r="1237" spans="1:2">
      <c r="A1237" s="29"/>
      <c r="B1237" s="30"/>
    </row>
    <row r="1238" spans="1:2">
      <c r="A1238" s="29"/>
      <c r="B1238" s="30"/>
    </row>
    <row r="1239" spans="1:2">
      <c r="A1239" s="29"/>
      <c r="B1239" s="30"/>
    </row>
    <row r="1240" spans="1:2">
      <c r="A1240" s="29"/>
      <c r="B1240" s="30"/>
    </row>
    <row r="1241" spans="1:2">
      <c r="A1241" s="29"/>
      <c r="B1241" s="30"/>
    </row>
    <row r="1242" spans="1:2">
      <c r="A1242" s="29"/>
      <c r="B1242" s="30"/>
    </row>
    <row r="1243" spans="1:2">
      <c r="A1243" s="29"/>
      <c r="B1243" s="30"/>
    </row>
    <row r="1244" spans="1:2">
      <c r="A1244" s="29"/>
      <c r="B1244" s="30"/>
    </row>
    <row r="1245" spans="1:2">
      <c r="A1245" s="29"/>
      <c r="B1245" s="30"/>
    </row>
    <row r="1246" spans="1:2">
      <c r="A1246" s="29"/>
      <c r="B1246" s="30"/>
    </row>
    <row r="1247" spans="1:2">
      <c r="A1247" s="29"/>
      <c r="B1247" s="30"/>
    </row>
    <row r="1248" spans="1:2">
      <c r="A1248" s="29"/>
      <c r="B1248" s="30"/>
    </row>
    <row r="1249" spans="1:2">
      <c r="A1249" s="29"/>
      <c r="B1249" s="30"/>
    </row>
    <row r="1250" spans="1:2">
      <c r="A1250" s="29"/>
      <c r="B1250" s="30"/>
    </row>
    <row r="1251" spans="1:2">
      <c r="A1251" s="29"/>
      <c r="B1251" s="30"/>
    </row>
    <row r="1252" spans="1:2">
      <c r="A1252" s="29"/>
      <c r="B1252" s="30"/>
    </row>
    <row r="1253" spans="1:2">
      <c r="A1253" s="29"/>
      <c r="B1253" s="30"/>
    </row>
    <row r="1254" spans="1:2">
      <c r="A1254" s="29"/>
      <c r="B1254" s="30"/>
    </row>
    <row r="1255" spans="1:2">
      <c r="A1255" s="29"/>
      <c r="B1255" s="30"/>
    </row>
    <row r="1256" spans="1:2">
      <c r="A1256" s="29"/>
      <c r="B1256" s="30"/>
    </row>
    <row r="1257" spans="1:2">
      <c r="A1257" s="29"/>
      <c r="B1257" s="30"/>
    </row>
    <row r="1258" spans="1:2">
      <c r="A1258" s="29"/>
      <c r="B1258" s="30"/>
    </row>
    <row r="1259" spans="1:2">
      <c r="A1259" s="29"/>
      <c r="B1259" s="30"/>
    </row>
    <row r="1260" spans="1:2">
      <c r="A1260" s="29"/>
      <c r="B1260" s="30"/>
    </row>
    <row r="1261" spans="1:2">
      <c r="A1261" s="29"/>
      <c r="B1261" s="30"/>
    </row>
    <row r="1262" spans="1:2">
      <c r="A1262" s="29"/>
      <c r="B1262" s="30"/>
    </row>
    <row r="1263" spans="1:2">
      <c r="A1263" s="29"/>
      <c r="B1263" s="30"/>
    </row>
    <row r="1264" spans="1:2">
      <c r="A1264" s="29"/>
      <c r="B1264" s="30"/>
    </row>
    <row r="1265" spans="1:2">
      <c r="A1265" s="29"/>
      <c r="B1265" s="30"/>
    </row>
    <row r="1266" spans="1:2">
      <c r="A1266" s="29"/>
      <c r="B1266" s="30"/>
    </row>
    <row r="1267" spans="1:2">
      <c r="A1267" s="29"/>
      <c r="B1267" s="30"/>
    </row>
    <row r="1268" spans="1:2">
      <c r="A1268" s="29"/>
      <c r="B1268" s="30"/>
    </row>
    <row r="1269" spans="1:2">
      <c r="A1269" s="29"/>
      <c r="B1269" s="30"/>
    </row>
    <row r="1270" spans="1:2">
      <c r="A1270" s="29"/>
      <c r="B1270" s="30"/>
    </row>
    <row r="1271" spans="1:2">
      <c r="A1271" s="29"/>
      <c r="B1271" s="30"/>
    </row>
    <row r="1272" spans="1:2">
      <c r="A1272" s="29"/>
      <c r="B1272" s="30"/>
    </row>
    <row r="1273" spans="1:2">
      <c r="A1273" s="29"/>
      <c r="B1273" s="30"/>
    </row>
    <row r="1274" spans="1:2">
      <c r="A1274" s="29"/>
      <c r="B1274" s="30"/>
    </row>
    <row r="1275" spans="1:2">
      <c r="A1275" s="29"/>
      <c r="B1275" s="30"/>
    </row>
    <row r="1276" spans="1:2">
      <c r="A1276" s="29"/>
      <c r="B1276" s="30"/>
    </row>
    <row r="1277" spans="1:2">
      <c r="A1277" s="29"/>
      <c r="B1277" s="30"/>
    </row>
    <row r="1278" spans="1:2">
      <c r="A1278" s="29"/>
      <c r="B1278" s="30"/>
    </row>
    <row r="1279" spans="1:2">
      <c r="A1279" s="29"/>
      <c r="B1279" s="30"/>
    </row>
    <row r="1280" spans="1:2">
      <c r="A1280" s="29"/>
      <c r="B1280" s="30"/>
    </row>
    <row r="1281" spans="1:2">
      <c r="A1281" s="29"/>
      <c r="B1281" s="30"/>
    </row>
    <row r="1282" spans="1:2">
      <c r="A1282" s="29"/>
      <c r="B1282" s="30"/>
    </row>
    <row r="1283" spans="1:2">
      <c r="A1283" s="29"/>
      <c r="B1283" s="30"/>
    </row>
    <row r="1284" spans="1:2">
      <c r="A1284" s="29"/>
      <c r="B1284" s="30"/>
    </row>
    <row r="1285" spans="1:2">
      <c r="A1285" s="29"/>
      <c r="B1285" s="30"/>
    </row>
    <row r="1286" spans="1:2">
      <c r="A1286" s="29"/>
      <c r="B1286" s="30"/>
    </row>
    <row r="1287" spans="1:2">
      <c r="A1287" s="29"/>
      <c r="B1287" s="30"/>
    </row>
    <row r="1288" spans="1:2">
      <c r="A1288" s="29"/>
      <c r="B1288" s="30"/>
    </row>
    <row r="1289" spans="1:2">
      <c r="A1289" s="29"/>
      <c r="B1289" s="30"/>
    </row>
    <row r="1290" spans="1:2">
      <c r="A1290" s="29"/>
      <c r="B1290" s="30"/>
    </row>
    <row r="1291" spans="1:2">
      <c r="A1291" s="29"/>
      <c r="B1291" s="30"/>
    </row>
    <row r="1292" spans="1:2">
      <c r="A1292" s="29"/>
      <c r="B1292" s="30"/>
    </row>
    <row r="1293" spans="1:2">
      <c r="A1293" s="29"/>
      <c r="B1293" s="30"/>
    </row>
    <row r="1294" spans="1:2">
      <c r="A1294" s="29"/>
      <c r="B1294" s="30"/>
    </row>
    <row r="1295" spans="1:2">
      <c r="A1295" s="29"/>
      <c r="B1295" s="30"/>
    </row>
    <row r="1296" spans="1:2">
      <c r="A1296" s="29"/>
      <c r="B1296" s="30"/>
    </row>
    <row r="1297" spans="1:2">
      <c r="A1297" s="29"/>
      <c r="B1297" s="30"/>
    </row>
    <row r="1298" spans="1:2">
      <c r="A1298" s="29"/>
      <c r="B1298" s="30"/>
    </row>
    <row r="1299" spans="1:2">
      <c r="A1299" s="29"/>
      <c r="B1299" s="30"/>
    </row>
    <row r="1300" spans="1:2">
      <c r="A1300" s="29"/>
      <c r="B1300" s="30"/>
    </row>
    <row r="1301" spans="1:2">
      <c r="A1301" s="29"/>
      <c r="B1301" s="30"/>
    </row>
    <row r="1302" spans="1:2">
      <c r="A1302" s="29"/>
      <c r="B1302" s="30"/>
    </row>
    <row r="1303" spans="1:2">
      <c r="A1303" s="29"/>
      <c r="B1303" s="30"/>
    </row>
    <row r="1304" spans="1:2">
      <c r="A1304" s="29"/>
      <c r="B1304" s="30"/>
    </row>
    <row r="1305" spans="1:2">
      <c r="A1305" s="29"/>
      <c r="B1305" s="30"/>
    </row>
    <row r="1306" spans="1:2">
      <c r="A1306" s="29"/>
      <c r="B1306" s="30"/>
    </row>
    <row r="1307" spans="1:2">
      <c r="A1307" s="29"/>
      <c r="B1307" s="30"/>
    </row>
    <row r="1308" spans="1:2">
      <c r="A1308" s="29"/>
      <c r="B1308" s="30"/>
    </row>
    <row r="1309" spans="1:2">
      <c r="A1309" s="29"/>
      <c r="B1309" s="30"/>
    </row>
    <row r="1310" spans="1:2">
      <c r="A1310" s="29"/>
      <c r="B1310" s="30"/>
    </row>
    <row r="1311" spans="1:2">
      <c r="A1311" s="29"/>
      <c r="B1311" s="30"/>
    </row>
    <row r="1312" spans="1:2">
      <c r="A1312" s="29"/>
      <c r="B1312" s="30"/>
    </row>
    <row r="1313" spans="1:2">
      <c r="A1313" s="29"/>
      <c r="B1313" s="30"/>
    </row>
    <row r="1314" spans="1:2">
      <c r="A1314" s="29"/>
      <c r="B1314" s="30"/>
    </row>
    <row r="1315" spans="1:2">
      <c r="A1315" s="29"/>
      <c r="B1315" s="30"/>
    </row>
    <row r="1316" spans="1:2">
      <c r="A1316" s="29"/>
      <c r="B1316" s="30"/>
    </row>
    <row r="1317" spans="1:2">
      <c r="A1317" s="29"/>
      <c r="B1317" s="30"/>
    </row>
    <row r="1318" spans="1:2">
      <c r="A1318" s="29"/>
      <c r="B1318" s="30"/>
    </row>
    <row r="1319" spans="1:2">
      <c r="A1319" s="29"/>
      <c r="B1319" s="30"/>
    </row>
    <row r="1320" spans="1:2">
      <c r="A1320" s="29"/>
      <c r="B1320" s="30"/>
    </row>
    <row r="1321" spans="1:2">
      <c r="A1321" s="29"/>
      <c r="B1321" s="30"/>
    </row>
    <row r="1322" spans="1:2">
      <c r="A1322" s="29"/>
      <c r="B1322" s="30"/>
    </row>
    <row r="1323" spans="1:2">
      <c r="A1323" s="29"/>
      <c r="B1323" s="30"/>
    </row>
    <row r="1324" spans="1:2">
      <c r="A1324" s="29"/>
      <c r="B1324" s="30"/>
    </row>
    <row r="1325" spans="1:2">
      <c r="A1325" s="29"/>
      <c r="B1325" s="30"/>
    </row>
    <row r="1326" spans="1:2">
      <c r="A1326" s="29"/>
      <c r="B1326" s="30"/>
    </row>
    <row r="1327" spans="1:2">
      <c r="A1327" s="29"/>
      <c r="B1327" s="30"/>
    </row>
    <row r="1328" spans="1:2">
      <c r="A1328" s="29"/>
      <c r="B1328" s="30"/>
    </row>
    <row r="1329" spans="1:2">
      <c r="A1329" s="29"/>
      <c r="B1329" s="30"/>
    </row>
    <row r="1330" spans="1:2">
      <c r="A1330" s="29"/>
      <c r="B1330" s="30"/>
    </row>
    <row r="1331" spans="1:2">
      <c r="A1331" s="29"/>
      <c r="B1331" s="30"/>
    </row>
    <row r="1332" spans="1:2">
      <c r="A1332" s="29"/>
      <c r="B1332" s="30"/>
    </row>
    <row r="1333" spans="1:2">
      <c r="A1333" s="29"/>
      <c r="B1333" s="30"/>
    </row>
    <row r="1334" spans="1:2">
      <c r="A1334" s="29"/>
      <c r="B1334" s="30"/>
    </row>
    <row r="1335" spans="1:2">
      <c r="A1335" s="29"/>
      <c r="B1335" s="30"/>
    </row>
    <row r="1336" spans="1:2">
      <c r="A1336" s="29"/>
      <c r="B1336" s="30"/>
    </row>
    <row r="1337" spans="1:2">
      <c r="A1337" s="29"/>
      <c r="B1337" s="30"/>
    </row>
    <row r="1338" spans="1:2">
      <c r="A1338" s="29"/>
      <c r="B1338" s="30"/>
    </row>
    <row r="1339" spans="1:2">
      <c r="A1339" s="29"/>
      <c r="B1339" s="30"/>
    </row>
    <row r="1340" spans="1:2">
      <c r="A1340" s="29"/>
      <c r="B1340" s="30"/>
    </row>
    <row r="1341" spans="1:2">
      <c r="A1341" s="29"/>
      <c r="B1341" s="30"/>
    </row>
    <row r="1342" spans="1:2">
      <c r="A1342" s="29"/>
      <c r="B1342" s="30"/>
    </row>
    <row r="1343" spans="1:2">
      <c r="A1343" s="29"/>
      <c r="B1343" s="30"/>
    </row>
    <row r="1344" spans="1:2">
      <c r="A1344" s="29"/>
      <c r="B1344" s="30"/>
    </row>
    <row r="1345" spans="1:2">
      <c r="A1345" s="29"/>
      <c r="B1345" s="30"/>
    </row>
    <row r="1346" spans="1:2">
      <c r="A1346" s="29"/>
      <c r="B1346" s="30"/>
    </row>
    <row r="1347" spans="1:2">
      <c r="A1347" s="29"/>
      <c r="B1347" s="30"/>
    </row>
    <row r="1348" spans="1:2">
      <c r="A1348" s="29"/>
      <c r="B1348" s="30"/>
    </row>
    <row r="1349" spans="1:2">
      <c r="A1349" s="29"/>
      <c r="B1349" s="30"/>
    </row>
    <row r="1350" spans="1:2">
      <c r="A1350" s="29"/>
      <c r="B1350" s="30"/>
    </row>
    <row r="1351" spans="1:2">
      <c r="A1351" s="29"/>
      <c r="B1351" s="30"/>
    </row>
    <row r="1352" spans="1:2">
      <c r="A1352" s="29"/>
      <c r="B1352" s="30"/>
    </row>
    <row r="1353" spans="1:2">
      <c r="A1353" s="29"/>
      <c r="B1353" s="30"/>
    </row>
    <row r="1354" spans="1:2">
      <c r="A1354" s="29"/>
      <c r="B1354" s="30"/>
    </row>
    <row r="1355" spans="1:2">
      <c r="A1355" s="29"/>
      <c r="B1355" s="30"/>
    </row>
    <row r="1356" spans="1:2">
      <c r="A1356" s="29"/>
      <c r="B1356" s="30"/>
    </row>
    <row r="1357" spans="1:2">
      <c r="A1357" s="29"/>
      <c r="B1357" s="30"/>
    </row>
    <row r="1358" spans="1:2">
      <c r="A1358" s="29"/>
      <c r="B1358" s="30"/>
    </row>
    <row r="1359" spans="1:2">
      <c r="A1359" s="29"/>
      <c r="B1359" s="30"/>
    </row>
    <row r="1360" spans="1:2">
      <c r="A1360" s="29"/>
      <c r="B1360" s="30"/>
    </row>
    <row r="1361" spans="1:2">
      <c r="A1361" s="29"/>
      <c r="B1361" s="30"/>
    </row>
    <row r="1362" spans="1:2">
      <c r="A1362" s="29"/>
      <c r="B1362" s="30"/>
    </row>
    <row r="1363" spans="1:2">
      <c r="A1363" s="29"/>
      <c r="B1363" s="30"/>
    </row>
    <row r="1364" spans="1:2">
      <c r="A1364" s="29"/>
      <c r="B1364" s="30"/>
    </row>
    <row r="1365" spans="1:2">
      <c r="A1365" s="29"/>
      <c r="B1365" s="30"/>
    </row>
    <row r="1366" spans="1:2">
      <c r="A1366" s="29"/>
      <c r="B1366" s="30"/>
    </row>
    <row r="1367" spans="1:2">
      <c r="A1367" s="29"/>
      <c r="B1367" s="30"/>
    </row>
    <row r="1368" spans="1:2">
      <c r="A1368" s="29"/>
      <c r="B1368" s="30"/>
    </row>
    <row r="1369" spans="1:2">
      <c r="A1369" s="29"/>
      <c r="B1369" s="30"/>
    </row>
    <row r="1370" spans="1:2">
      <c r="A1370" s="29"/>
      <c r="B1370" s="30"/>
    </row>
    <row r="1371" spans="1:2">
      <c r="A1371" s="29"/>
      <c r="B1371" s="30"/>
    </row>
    <row r="1372" spans="1:2">
      <c r="A1372" s="29"/>
      <c r="B1372" s="30"/>
    </row>
    <row r="1373" spans="1:2">
      <c r="A1373" s="29"/>
      <c r="B1373" s="30"/>
    </row>
    <row r="1374" spans="1:2">
      <c r="A1374" s="29"/>
      <c r="B1374" s="30"/>
    </row>
    <row r="1375" spans="1:2">
      <c r="A1375" s="29"/>
      <c r="B1375" s="30"/>
    </row>
    <row r="1376" spans="1:2">
      <c r="A1376" s="29"/>
      <c r="B1376" s="30"/>
    </row>
    <row r="1377" spans="1:2">
      <c r="A1377" s="29"/>
      <c r="B1377" s="30"/>
    </row>
    <row r="1378" spans="1:2">
      <c r="A1378" s="29"/>
      <c r="B1378" s="30"/>
    </row>
    <row r="1379" spans="1:2">
      <c r="A1379" s="29"/>
      <c r="B1379" s="30"/>
    </row>
    <row r="1380" spans="1:2">
      <c r="A1380" s="29"/>
      <c r="B1380" s="30"/>
    </row>
    <row r="1381" spans="1:2">
      <c r="A1381" s="29"/>
      <c r="B1381" s="30"/>
    </row>
    <row r="1382" spans="1:2">
      <c r="A1382" s="29"/>
      <c r="B1382" s="30"/>
    </row>
    <row r="1383" spans="1:2">
      <c r="A1383" s="29"/>
      <c r="B1383" s="30"/>
    </row>
    <row r="1384" spans="1:2">
      <c r="A1384" s="29"/>
      <c r="B1384" s="30"/>
    </row>
    <row r="1385" spans="1:2">
      <c r="A1385" s="29"/>
      <c r="B1385" s="30"/>
    </row>
    <row r="1386" spans="1:2">
      <c r="A1386" s="29"/>
      <c r="B1386" s="30"/>
    </row>
    <row r="1387" spans="1:2">
      <c r="A1387" s="29"/>
      <c r="B1387" s="30"/>
    </row>
    <row r="1388" spans="1:2">
      <c r="A1388" s="29"/>
      <c r="B1388" s="30"/>
    </row>
    <row r="1389" spans="1:2">
      <c r="A1389" s="29"/>
      <c r="B1389" s="30"/>
    </row>
    <row r="1390" spans="1:2">
      <c r="A1390" s="29"/>
      <c r="B1390" s="30"/>
    </row>
    <row r="1391" spans="1:2">
      <c r="A1391" s="29"/>
      <c r="B1391" s="30"/>
    </row>
    <row r="1392" spans="1:2">
      <c r="A1392" s="29"/>
      <c r="B1392" s="30"/>
    </row>
    <row r="1393" spans="1:13">
      <c r="A1393" s="29"/>
      <c r="B1393" s="30"/>
    </row>
    <row r="1394" spans="1:13">
      <c r="A1394" s="29"/>
      <c r="B1394" s="30"/>
    </row>
    <row r="1395" spans="1:13">
      <c r="A1395" s="29"/>
      <c r="B1395" s="30"/>
    </row>
    <row r="1396" spans="1:13">
      <c r="A1396" s="29"/>
      <c r="B1396" s="30"/>
    </row>
    <row r="1397" spans="1:13">
      <c r="A1397" s="29"/>
      <c r="B1397" s="30"/>
    </row>
    <row r="1398" spans="1:13">
      <c r="A1398" s="29"/>
      <c r="B1398" s="30"/>
    </row>
    <row r="1399" spans="1:13">
      <c r="A1399" s="29"/>
      <c r="B1399" s="30"/>
    </row>
    <row r="1400" spans="1:13">
      <c r="A1400" s="29"/>
      <c r="B1400" s="30"/>
    </row>
    <row r="1401" spans="1:13">
      <c r="A1401" s="29"/>
      <c r="B1401" s="30"/>
    </row>
    <row r="1402" spans="1:13">
      <c r="A1402" s="29"/>
      <c r="B1402" s="30"/>
    </row>
    <row r="1403" spans="1:13">
      <c r="A1403" s="29"/>
      <c r="B1403" s="30"/>
      <c r="M1403" s="30"/>
    </row>
    <row r="1404" spans="1:13">
      <c r="A1404" s="29"/>
      <c r="B1404" s="30"/>
    </row>
    <row r="1405" spans="1:13">
      <c r="A1405" s="29"/>
      <c r="B1405" s="30"/>
    </row>
    <row r="1406" spans="1:13">
      <c r="A1406" s="29"/>
      <c r="B1406" s="30"/>
    </row>
    <row r="1407" spans="1:13">
      <c r="A1407" s="29"/>
      <c r="B1407" s="30"/>
    </row>
    <row r="1408" spans="1:13">
      <c r="A1408" s="29"/>
      <c r="B1408" s="30"/>
    </row>
    <row r="1409" spans="1:13">
      <c r="A1409" s="29"/>
      <c r="B1409" s="30"/>
    </row>
    <row r="1410" spans="1:13">
      <c r="A1410" s="29"/>
      <c r="B1410" s="30"/>
    </row>
    <row r="1411" spans="1:13">
      <c r="A1411" s="29"/>
      <c r="B1411" s="30"/>
    </row>
    <row r="1412" spans="1:13">
      <c r="A1412" s="29"/>
      <c r="B1412" s="30"/>
    </row>
    <row r="1413" spans="1:13">
      <c r="A1413" s="29"/>
      <c r="B1413" s="30"/>
    </row>
    <row r="1414" spans="1:13">
      <c r="A1414" s="29"/>
      <c r="B1414" s="30"/>
    </row>
    <row r="1415" spans="1:13">
      <c r="A1415" s="29"/>
      <c r="B1415" s="30"/>
    </row>
    <row r="1416" spans="1:13">
      <c r="A1416" s="29"/>
      <c r="B1416" s="30"/>
    </row>
    <row r="1417" spans="1:13">
      <c r="A1417" s="29"/>
      <c r="B1417" s="30"/>
    </row>
    <row r="1418" spans="1:13">
      <c r="A1418" s="29"/>
      <c r="B1418" s="30"/>
    </row>
    <row r="1419" spans="1:13">
      <c r="A1419" s="29"/>
      <c r="B1419" s="30"/>
    </row>
    <row r="1420" spans="1:13">
      <c r="A1420" s="29"/>
      <c r="B1420" s="30"/>
    </row>
    <row r="1421" spans="1:13">
      <c r="A1421" s="29"/>
      <c r="B1421" s="30"/>
    </row>
    <row r="1422" spans="1:13">
      <c r="A1422" s="29"/>
      <c r="B1422" s="30"/>
    </row>
    <row r="1423" spans="1:13">
      <c r="A1423" s="29"/>
      <c r="B1423" s="30"/>
      <c r="M1423" s="30"/>
    </row>
    <row r="1424" spans="1:13">
      <c r="A1424" s="29"/>
      <c r="B1424" s="30"/>
    </row>
    <row r="1425" spans="1:2">
      <c r="A1425" s="29"/>
      <c r="B1425" s="30"/>
    </row>
    <row r="1426" spans="1:2">
      <c r="A1426" s="29"/>
      <c r="B1426" s="30"/>
    </row>
    <row r="1427" spans="1:2">
      <c r="A1427" s="29"/>
      <c r="B1427" s="30"/>
    </row>
    <row r="1428" spans="1:2">
      <c r="A1428" s="29"/>
      <c r="B1428" s="30"/>
    </row>
    <row r="1429" spans="1:2">
      <c r="A1429" s="29"/>
      <c r="B1429" s="30"/>
    </row>
    <row r="1430" spans="1:2">
      <c r="A1430" s="29"/>
      <c r="B1430" s="30"/>
    </row>
    <row r="1431" spans="1:2">
      <c r="A1431" s="29"/>
      <c r="B1431" s="30"/>
    </row>
    <row r="1432" spans="1:2">
      <c r="A1432" s="29"/>
      <c r="B1432" s="30"/>
    </row>
    <row r="1433" spans="1:2">
      <c r="A1433" s="29"/>
      <c r="B1433" s="30"/>
    </row>
    <row r="1434" spans="1:2">
      <c r="A1434" s="29"/>
      <c r="B1434" s="30"/>
    </row>
    <row r="1435" spans="1:2">
      <c r="A1435" s="29"/>
      <c r="B1435" s="30"/>
    </row>
    <row r="1436" spans="1:2">
      <c r="A1436" s="29"/>
      <c r="B1436" s="30"/>
    </row>
    <row r="1437" spans="1:2">
      <c r="A1437" s="29"/>
      <c r="B1437" s="30"/>
    </row>
    <row r="1438" spans="1:2">
      <c r="A1438" s="29"/>
      <c r="B1438" s="30"/>
    </row>
    <row r="1439" spans="1:2">
      <c r="A1439" s="29"/>
      <c r="B1439" s="30"/>
    </row>
    <row r="1440" spans="1:2">
      <c r="A1440" s="29"/>
      <c r="B1440" s="30"/>
    </row>
    <row r="1441" spans="1:2">
      <c r="A1441" s="29"/>
      <c r="B1441" s="30"/>
    </row>
    <row r="1442" spans="1:2">
      <c r="A1442" s="29"/>
      <c r="B1442" s="30"/>
    </row>
    <row r="1443" spans="1:2">
      <c r="A1443" s="29"/>
      <c r="B1443" s="30"/>
    </row>
    <row r="1444" spans="1:2">
      <c r="A1444" s="29"/>
      <c r="B1444" s="30"/>
    </row>
    <row r="1445" spans="1:2">
      <c r="A1445" s="29"/>
      <c r="B1445" s="30"/>
    </row>
    <row r="1446" spans="1:2">
      <c r="A1446" s="29"/>
      <c r="B1446" s="30"/>
    </row>
    <row r="1447" spans="1:2">
      <c r="A1447" s="29"/>
      <c r="B1447" s="30"/>
    </row>
    <row r="1448" spans="1:2">
      <c r="A1448" s="29"/>
      <c r="B1448" s="30"/>
    </row>
    <row r="1449" spans="1:2">
      <c r="A1449" s="29"/>
      <c r="B1449" s="30"/>
    </row>
    <row r="1450" spans="1:2">
      <c r="A1450" s="29"/>
      <c r="B1450" s="30"/>
    </row>
    <row r="1451" spans="1:2">
      <c r="A1451" s="29"/>
      <c r="B1451" s="30"/>
    </row>
    <row r="1452" spans="1:2">
      <c r="A1452" s="29"/>
      <c r="B1452" s="30"/>
    </row>
    <row r="1453" spans="1:2">
      <c r="A1453" s="29"/>
      <c r="B1453" s="30"/>
    </row>
    <row r="1454" spans="1:2">
      <c r="A1454" s="29"/>
      <c r="B1454" s="30"/>
    </row>
    <row r="1455" spans="1:2">
      <c r="A1455" s="29"/>
      <c r="B1455" s="30"/>
    </row>
    <row r="1456" spans="1:2">
      <c r="A1456" s="29"/>
      <c r="B1456" s="30"/>
    </row>
    <row r="1457" spans="1:2">
      <c r="A1457" s="29"/>
      <c r="B1457" s="30"/>
    </row>
    <row r="1458" spans="1:2">
      <c r="A1458" s="29"/>
      <c r="B1458" s="30"/>
    </row>
    <row r="1459" spans="1:2">
      <c r="A1459" s="29"/>
      <c r="B1459" s="30"/>
    </row>
    <row r="1460" spans="1:2">
      <c r="A1460" s="29"/>
      <c r="B1460" s="30"/>
    </row>
    <row r="1461" spans="1:2">
      <c r="A1461" s="29"/>
      <c r="B1461" s="30"/>
    </row>
    <row r="1462" spans="1:2">
      <c r="A1462" s="29"/>
      <c r="B1462" s="30"/>
    </row>
    <row r="1463" spans="1:2">
      <c r="A1463" s="29"/>
      <c r="B1463" s="30"/>
    </row>
    <row r="1464" spans="1:2">
      <c r="A1464" s="29"/>
      <c r="B1464" s="30"/>
    </row>
    <row r="1465" spans="1:2">
      <c r="A1465" s="29"/>
      <c r="B1465" s="30"/>
    </row>
    <row r="1466" spans="1:2">
      <c r="A1466" s="29"/>
      <c r="B1466" s="30"/>
    </row>
    <row r="1467" spans="1:2">
      <c r="A1467" s="29"/>
      <c r="B1467" s="30"/>
    </row>
    <row r="1468" spans="1:2">
      <c r="A1468" s="29"/>
      <c r="B1468" s="30"/>
    </row>
    <row r="1469" spans="1:2">
      <c r="A1469" s="29"/>
      <c r="B1469" s="30"/>
    </row>
    <row r="1470" spans="1:2">
      <c r="A1470" s="29"/>
      <c r="B1470" s="30"/>
    </row>
    <row r="1471" spans="1:2">
      <c r="A1471" s="29"/>
      <c r="B1471" s="30"/>
    </row>
    <row r="1472" spans="1:2">
      <c r="A1472" s="29"/>
      <c r="B1472" s="30"/>
    </row>
    <row r="1473" spans="1:2">
      <c r="A1473" s="29"/>
      <c r="B1473" s="30"/>
    </row>
    <row r="1474" spans="1:2">
      <c r="A1474" s="29"/>
      <c r="B1474" s="30"/>
    </row>
    <row r="1475" spans="1:2">
      <c r="A1475" s="29"/>
      <c r="B1475" s="30"/>
    </row>
    <row r="1476" spans="1:2">
      <c r="A1476" s="29"/>
      <c r="B1476" s="30"/>
    </row>
    <row r="1477" spans="1:2">
      <c r="A1477" s="29"/>
      <c r="B1477" s="30"/>
    </row>
    <row r="1478" spans="1:2">
      <c r="A1478" s="29"/>
      <c r="B1478" s="30"/>
    </row>
    <row r="1479" spans="1:2">
      <c r="A1479" s="29"/>
      <c r="B1479" s="30"/>
    </row>
    <row r="1480" spans="1:2">
      <c r="A1480" s="29"/>
      <c r="B1480" s="30"/>
    </row>
    <row r="1481" spans="1:2">
      <c r="A1481" s="29"/>
      <c r="B1481" s="30"/>
    </row>
    <row r="1482" spans="1:2">
      <c r="A1482" s="29"/>
      <c r="B1482" s="30"/>
    </row>
    <row r="1483" spans="1:2">
      <c r="A1483" s="29"/>
      <c r="B1483" s="30"/>
    </row>
    <row r="1484" spans="1:2">
      <c r="A1484" s="29"/>
      <c r="B1484" s="30"/>
    </row>
    <row r="1485" spans="1:2">
      <c r="A1485" s="29"/>
      <c r="B1485" s="30"/>
    </row>
    <row r="1486" spans="1:2">
      <c r="A1486" s="29"/>
      <c r="B1486" s="30"/>
    </row>
    <row r="1487" spans="1:2">
      <c r="A1487" s="29"/>
      <c r="B1487" s="30"/>
    </row>
    <row r="1488" spans="1:2">
      <c r="A1488" s="29"/>
      <c r="B1488" s="30"/>
    </row>
    <row r="1489" spans="1:2">
      <c r="A1489" s="29"/>
      <c r="B1489" s="30"/>
    </row>
    <row r="1490" spans="1:2">
      <c r="A1490" s="29"/>
      <c r="B1490" s="30"/>
    </row>
    <row r="1491" spans="1:2">
      <c r="A1491" s="29"/>
      <c r="B1491" s="30"/>
    </row>
    <row r="1492" spans="1:2">
      <c r="A1492" s="29"/>
      <c r="B1492" s="30"/>
    </row>
    <row r="1493" spans="1:2">
      <c r="A1493" s="29"/>
      <c r="B1493" s="30"/>
    </row>
    <row r="1494" spans="1:2">
      <c r="A1494" s="29"/>
      <c r="B1494" s="30"/>
    </row>
    <row r="1495" spans="1:2">
      <c r="A1495" s="29"/>
      <c r="B1495" s="30"/>
    </row>
    <row r="1496" spans="1:2">
      <c r="A1496" s="29"/>
      <c r="B1496" s="30"/>
    </row>
    <row r="1497" spans="1:2">
      <c r="A1497" s="29"/>
      <c r="B1497" s="30"/>
    </row>
    <row r="1498" spans="1:2">
      <c r="A1498" s="29"/>
      <c r="B1498" s="30"/>
    </row>
    <row r="1499" spans="1:2">
      <c r="A1499" s="29"/>
      <c r="B1499" s="30"/>
    </row>
    <row r="1500" spans="1:2">
      <c r="A1500" s="29"/>
      <c r="B1500" s="30"/>
    </row>
    <row r="1501" spans="1:2">
      <c r="A1501" s="29"/>
      <c r="B1501" s="30"/>
    </row>
    <row r="1502" spans="1:2">
      <c r="A1502" s="29"/>
      <c r="B1502" s="30"/>
    </row>
    <row r="1503" spans="1:2">
      <c r="A1503" s="29"/>
      <c r="B1503" s="30"/>
    </row>
    <row r="1504" spans="1:2">
      <c r="A1504" s="29"/>
      <c r="B1504" s="30"/>
    </row>
    <row r="1505" spans="1:2">
      <c r="A1505" s="29"/>
      <c r="B1505" s="30"/>
    </row>
    <row r="1506" spans="1:2">
      <c r="A1506" s="29"/>
      <c r="B1506" s="30"/>
    </row>
    <row r="1507" spans="1:2">
      <c r="A1507" s="29"/>
      <c r="B1507" s="30"/>
    </row>
    <row r="1508" spans="1:2">
      <c r="A1508" s="29"/>
      <c r="B1508" s="30"/>
    </row>
    <row r="1509" spans="1:2">
      <c r="A1509" s="29"/>
      <c r="B1509" s="30"/>
    </row>
    <row r="1510" spans="1:2">
      <c r="A1510" s="29"/>
      <c r="B1510" s="30"/>
    </row>
    <row r="1511" spans="1:2">
      <c r="A1511" s="29"/>
      <c r="B1511" s="30"/>
    </row>
    <row r="1512" spans="1:2">
      <c r="A1512" s="29"/>
      <c r="B1512" s="30"/>
    </row>
    <row r="1513" spans="1:2">
      <c r="A1513" s="29"/>
      <c r="B1513" s="30"/>
    </row>
    <row r="1514" spans="1:2">
      <c r="A1514" s="29"/>
      <c r="B1514" s="30"/>
    </row>
    <row r="1515" spans="1:2">
      <c r="A1515" s="29"/>
      <c r="B1515" s="30"/>
    </row>
    <row r="1516" spans="1:2">
      <c r="A1516" s="29"/>
      <c r="B1516" s="30"/>
    </row>
    <row r="1517" spans="1:2">
      <c r="A1517" s="29"/>
      <c r="B1517" s="30"/>
    </row>
    <row r="1518" spans="1:2">
      <c r="A1518" s="29"/>
      <c r="B1518" s="30"/>
    </row>
    <row r="1519" spans="1:2">
      <c r="A1519" s="29"/>
      <c r="B1519" s="30"/>
    </row>
    <row r="1520" spans="1:2">
      <c r="A1520" s="29"/>
      <c r="B1520" s="30"/>
    </row>
    <row r="1521" spans="1:2">
      <c r="A1521" s="29"/>
      <c r="B1521" s="30"/>
    </row>
    <row r="1522" spans="1:2">
      <c r="A1522" s="29"/>
      <c r="B1522" s="30"/>
    </row>
    <row r="1523" spans="1:2">
      <c r="A1523" s="29"/>
      <c r="B1523" s="30"/>
    </row>
    <row r="1524" spans="1:2">
      <c r="A1524" s="29"/>
      <c r="B1524" s="30"/>
    </row>
    <row r="1525" spans="1:2">
      <c r="A1525" s="29"/>
      <c r="B1525" s="30"/>
    </row>
    <row r="1526" spans="1:2">
      <c r="A1526" s="29"/>
      <c r="B1526" s="30"/>
    </row>
    <row r="1527" spans="1:2">
      <c r="A1527" s="29"/>
      <c r="B1527" s="30"/>
    </row>
    <row r="1528" spans="1:2">
      <c r="A1528" s="29"/>
      <c r="B1528" s="30"/>
    </row>
    <row r="1529" spans="1:2">
      <c r="A1529" s="29"/>
      <c r="B1529" s="30"/>
    </row>
    <row r="1530" spans="1:2">
      <c r="A1530" s="29"/>
      <c r="B1530" s="30"/>
    </row>
    <row r="1531" spans="1:2">
      <c r="A1531" s="29"/>
      <c r="B1531" s="30"/>
    </row>
    <row r="1532" spans="1:2">
      <c r="A1532" s="29"/>
      <c r="B1532" s="30"/>
    </row>
    <row r="1533" spans="1:2">
      <c r="A1533" s="29"/>
      <c r="B1533" s="30"/>
    </row>
    <row r="1534" spans="1:2">
      <c r="A1534" s="29"/>
      <c r="B1534" s="30"/>
    </row>
    <row r="1535" spans="1:2">
      <c r="A1535" s="29"/>
      <c r="B1535" s="30"/>
    </row>
    <row r="1536" spans="1:2">
      <c r="A1536" s="29"/>
      <c r="B1536" s="30"/>
    </row>
    <row r="1537" spans="1:2">
      <c r="A1537" s="29"/>
      <c r="B1537" s="30"/>
    </row>
    <row r="1538" spans="1:2">
      <c r="A1538" s="29"/>
      <c r="B1538" s="30"/>
    </row>
    <row r="1539" spans="1:2">
      <c r="A1539" s="29"/>
      <c r="B1539" s="30"/>
    </row>
    <row r="1540" spans="1:2">
      <c r="A1540" s="29"/>
      <c r="B1540" s="30"/>
    </row>
    <row r="1541" spans="1:2">
      <c r="A1541" s="29"/>
      <c r="B1541" s="30"/>
    </row>
    <row r="1542" spans="1:2">
      <c r="A1542" s="29"/>
      <c r="B1542" s="30"/>
    </row>
    <row r="1543" spans="1:2">
      <c r="A1543" s="29"/>
      <c r="B1543" s="30"/>
    </row>
    <row r="1544" spans="1:2">
      <c r="A1544" s="29"/>
      <c r="B1544" s="30"/>
    </row>
    <row r="1545" spans="1:2">
      <c r="A1545" s="29"/>
      <c r="B1545" s="30"/>
    </row>
    <row r="1546" spans="1:2">
      <c r="A1546" s="29"/>
      <c r="B1546" s="30"/>
    </row>
    <row r="1547" spans="1:2">
      <c r="A1547" s="29"/>
      <c r="B1547" s="30"/>
    </row>
    <row r="1548" spans="1:2">
      <c r="A1548" s="29"/>
      <c r="B1548" s="30"/>
    </row>
    <row r="1549" spans="1:2">
      <c r="A1549" s="29"/>
      <c r="B1549" s="30"/>
    </row>
    <row r="1550" spans="1:2">
      <c r="A1550" s="29"/>
      <c r="B1550" s="30"/>
    </row>
    <row r="1551" spans="1:2">
      <c r="A1551" s="29"/>
      <c r="B1551" s="30"/>
    </row>
    <row r="1552" spans="1:2">
      <c r="A1552" s="29"/>
      <c r="B1552" s="30"/>
    </row>
    <row r="1553" spans="1:2">
      <c r="A1553" s="29"/>
      <c r="B1553" s="30"/>
    </row>
    <row r="1554" spans="1:2">
      <c r="A1554" s="29"/>
      <c r="B1554" s="30"/>
    </row>
    <row r="1555" spans="1:2">
      <c r="A1555" s="29"/>
      <c r="B1555" s="30"/>
    </row>
    <row r="1556" spans="1:2">
      <c r="A1556" s="29"/>
      <c r="B1556" s="30"/>
    </row>
    <row r="1557" spans="1:2">
      <c r="A1557" s="29"/>
      <c r="B1557" s="30"/>
    </row>
    <row r="1558" spans="1:2">
      <c r="A1558" s="29"/>
      <c r="B1558" s="30"/>
    </row>
    <row r="1559" spans="1:2">
      <c r="A1559" s="29"/>
      <c r="B1559" s="30"/>
    </row>
    <row r="1560" spans="1:2">
      <c r="A1560" s="29"/>
      <c r="B1560" s="30"/>
    </row>
    <row r="1561" spans="1:2">
      <c r="A1561" s="29"/>
      <c r="B1561" s="30"/>
    </row>
    <row r="1562" spans="1:2">
      <c r="A1562" s="29"/>
      <c r="B1562" s="30"/>
    </row>
    <row r="1563" spans="1:2">
      <c r="A1563" s="29"/>
      <c r="B1563" s="30"/>
    </row>
    <row r="1564" spans="1:2">
      <c r="A1564" s="29"/>
      <c r="B1564" s="30"/>
    </row>
    <row r="1565" spans="1:2">
      <c r="A1565" s="29"/>
      <c r="B1565" s="30"/>
    </row>
    <row r="1566" spans="1:2">
      <c r="A1566" s="29"/>
      <c r="B1566" s="30"/>
    </row>
    <row r="1567" spans="1:2">
      <c r="A1567" s="29"/>
      <c r="B1567" s="30"/>
    </row>
    <row r="1568" spans="1:2">
      <c r="A1568" s="29"/>
      <c r="B1568" s="30"/>
    </row>
    <row r="1569" spans="1:2">
      <c r="A1569" s="29"/>
      <c r="B1569" s="30"/>
    </row>
    <row r="1570" spans="1:2">
      <c r="A1570" s="29"/>
      <c r="B1570" s="30"/>
    </row>
    <row r="1571" spans="1:2">
      <c r="A1571" s="29"/>
      <c r="B1571" s="30"/>
    </row>
    <row r="1572" spans="1:2">
      <c r="A1572" s="29"/>
      <c r="B1572" s="30"/>
    </row>
    <row r="1573" spans="1:2">
      <c r="A1573" s="29"/>
      <c r="B1573" s="30"/>
    </row>
    <row r="1574" spans="1:2">
      <c r="A1574" s="29"/>
      <c r="B1574" s="30"/>
    </row>
    <row r="1575" spans="1:2">
      <c r="A1575" s="29"/>
      <c r="B1575" s="30"/>
    </row>
    <row r="1576" spans="1:2">
      <c r="A1576" s="29"/>
      <c r="B1576" s="30"/>
    </row>
    <row r="1577" spans="1:2">
      <c r="A1577" s="29"/>
      <c r="B1577" s="30"/>
    </row>
    <row r="1578" spans="1:2">
      <c r="A1578" s="29"/>
      <c r="B1578" s="30"/>
    </row>
    <row r="1579" spans="1:2">
      <c r="A1579" s="29"/>
      <c r="B1579" s="30"/>
    </row>
    <row r="1580" spans="1:2">
      <c r="A1580" s="29"/>
      <c r="B1580" s="30"/>
    </row>
    <row r="1581" spans="1:2">
      <c r="A1581" s="29"/>
      <c r="B1581" s="30"/>
    </row>
    <row r="1582" spans="1:2">
      <c r="A1582" s="29"/>
      <c r="B1582" s="30"/>
    </row>
    <row r="1583" spans="1:2">
      <c r="A1583" s="29"/>
      <c r="B1583" s="30"/>
    </row>
    <row r="1584" spans="1:2">
      <c r="A1584" s="29"/>
      <c r="B1584" s="30"/>
    </row>
    <row r="1585" spans="1:13">
      <c r="A1585" s="29"/>
      <c r="B1585" s="30"/>
    </row>
    <row r="1586" spans="1:13">
      <c r="A1586" s="29"/>
      <c r="B1586" s="30"/>
    </row>
    <row r="1587" spans="1:13">
      <c r="A1587" s="29"/>
      <c r="B1587" s="30"/>
    </row>
    <row r="1588" spans="1:13">
      <c r="A1588" s="29"/>
      <c r="B1588" s="30"/>
    </row>
    <row r="1589" spans="1:13">
      <c r="A1589" s="29"/>
      <c r="B1589" s="30"/>
    </row>
    <row r="1590" spans="1:13">
      <c r="A1590" s="29"/>
      <c r="B1590" s="30"/>
    </row>
    <row r="1591" spans="1:13">
      <c r="A1591" s="29"/>
      <c r="B1591" s="30"/>
    </row>
    <row r="1592" spans="1:13">
      <c r="A1592" s="29"/>
      <c r="B1592" s="30"/>
    </row>
    <row r="1593" spans="1:13">
      <c r="A1593" s="29"/>
      <c r="B1593" s="30"/>
      <c r="M1593" s="30"/>
    </row>
    <row r="1594" spans="1:13">
      <c r="A1594" s="29"/>
      <c r="B1594" s="30"/>
    </row>
    <row r="1595" spans="1:13">
      <c r="A1595" s="29"/>
      <c r="B1595" s="30"/>
    </row>
    <row r="1596" spans="1:13">
      <c r="A1596" s="29"/>
      <c r="B1596" s="30"/>
    </row>
    <row r="1597" spans="1:13">
      <c r="A1597" s="29"/>
      <c r="B1597" s="30"/>
    </row>
    <row r="1598" spans="1:13">
      <c r="A1598" s="29"/>
      <c r="B1598" s="30"/>
    </row>
    <row r="1599" spans="1:13">
      <c r="A1599" s="29"/>
      <c r="B1599" s="30"/>
    </row>
    <row r="1600" spans="1:13">
      <c r="A1600" s="29"/>
      <c r="B1600" s="30"/>
    </row>
    <row r="1601" spans="1:2">
      <c r="A1601" s="29"/>
      <c r="B1601" s="30"/>
    </row>
    <row r="1602" spans="1:2">
      <c r="A1602" s="29"/>
      <c r="B1602" s="30"/>
    </row>
    <row r="1603" spans="1:2">
      <c r="A1603" s="29"/>
      <c r="B1603" s="30"/>
    </row>
    <row r="1604" spans="1:2">
      <c r="A1604" s="29"/>
      <c r="B1604" s="30"/>
    </row>
    <row r="1605" spans="1:2">
      <c r="A1605" s="29"/>
      <c r="B1605" s="30"/>
    </row>
    <row r="1606" spans="1:2">
      <c r="A1606" s="29"/>
      <c r="B1606" s="30"/>
    </row>
    <row r="1607" spans="1:2">
      <c r="A1607" s="29"/>
      <c r="B1607" s="30"/>
    </row>
    <row r="1608" spans="1:2">
      <c r="A1608" s="29"/>
      <c r="B1608" s="30"/>
    </row>
    <row r="1609" spans="1:2">
      <c r="A1609" s="29"/>
      <c r="B1609" s="30"/>
    </row>
    <row r="1610" spans="1:2">
      <c r="A1610" s="29"/>
      <c r="B1610" s="30"/>
    </row>
    <row r="1611" spans="1:2">
      <c r="A1611" s="29"/>
      <c r="B1611" s="30"/>
    </row>
    <row r="1612" spans="1:2">
      <c r="A1612" s="29"/>
      <c r="B1612" s="30"/>
    </row>
    <row r="1613" spans="1:2">
      <c r="A1613" s="29"/>
      <c r="B1613" s="30"/>
    </row>
    <row r="1614" spans="1:2">
      <c r="A1614" s="29"/>
      <c r="B1614" s="30"/>
    </row>
    <row r="1615" spans="1:2">
      <c r="A1615" s="29"/>
      <c r="B1615" s="30"/>
    </row>
    <row r="1616" spans="1:2">
      <c r="A1616" s="29"/>
      <c r="B1616" s="30"/>
    </row>
    <row r="1617" spans="1:2">
      <c r="A1617" s="29"/>
      <c r="B1617" s="30"/>
    </row>
    <row r="1618" spans="1:2">
      <c r="A1618" s="29"/>
      <c r="B1618" s="30"/>
    </row>
    <row r="1619" spans="1:2">
      <c r="A1619" s="29"/>
      <c r="B1619" s="30"/>
    </row>
    <row r="1620" spans="1:2">
      <c r="A1620" s="29"/>
      <c r="B1620" s="30"/>
    </row>
    <row r="1621" spans="1:2">
      <c r="A1621" s="29"/>
      <c r="B1621" s="30"/>
    </row>
    <row r="1622" spans="1:2">
      <c r="A1622" s="29"/>
      <c r="B1622" s="30"/>
    </row>
    <row r="1623" spans="1:2">
      <c r="A1623" s="29"/>
      <c r="B1623" s="30"/>
    </row>
    <row r="1624" spans="1:2">
      <c r="A1624" s="29"/>
      <c r="B1624" s="30"/>
    </row>
    <row r="1625" spans="1:2">
      <c r="A1625" s="29"/>
      <c r="B1625" s="30"/>
    </row>
    <row r="1626" spans="1:2">
      <c r="A1626" s="29"/>
      <c r="B1626" s="30"/>
    </row>
    <row r="1627" spans="1:2">
      <c r="A1627" s="29"/>
      <c r="B1627" s="30"/>
    </row>
    <row r="1628" spans="1:2">
      <c r="A1628" s="29"/>
      <c r="B1628" s="30"/>
    </row>
    <row r="1629" spans="1:2">
      <c r="A1629" s="29"/>
      <c r="B1629" s="30"/>
    </row>
    <row r="1630" spans="1:2">
      <c r="A1630" s="29"/>
      <c r="B1630" s="30"/>
    </row>
    <row r="1631" spans="1:2">
      <c r="A1631" s="29"/>
      <c r="B1631" s="30"/>
    </row>
    <row r="1632" spans="1:2">
      <c r="A1632" s="29"/>
      <c r="B1632" s="30"/>
    </row>
    <row r="1633" spans="1:2">
      <c r="A1633" s="29"/>
      <c r="B1633" s="30"/>
    </row>
    <row r="1634" spans="1:2">
      <c r="A1634" s="29"/>
      <c r="B1634" s="30"/>
    </row>
    <row r="1635" spans="1:2">
      <c r="A1635" s="29"/>
      <c r="B1635" s="30"/>
    </row>
    <row r="1636" spans="1:2">
      <c r="A1636" s="29"/>
      <c r="B1636" s="30"/>
    </row>
    <row r="1637" spans="1:2">
      <c r="A1637" s="29"/>
      <c r="B1637" s="30"/>
    </row>
    <row r="1638" spans="1:2">
      <c r="A1638" s="29"/>
      <c r="B1638" s="30"/>
    </row>
    <row r="1639" spans="1:2">
      <c r="A1639" s="29"/>
      <c r="B1639" s="30"/>
    </row>
    <row r="1640" spans="1:2">
      <c r="A1640" s="29"/>
      <c r="B1640" s="30"/>
    </row>
    <row r="1641" spans="1:2">
      <c r="A1641" s="29"/>
      <c r="B1641" s="30"/>
    </row>
    <row r="1642" spans="1:2">
      <c r="A1642" s="29"/>
      <c r="B1642" s="30"/>
    </row>
    <row r="1643" spans="1:2">
      <c r="A1643" s="29"/>
      <c r="B1643" s="30"/>
    </row>
    <row r="1644" spans="1:2">
      <c r="A1644" s="29"/>
      <c r="B1644" s="30"/>
    </row>
    <row r="1645" spans="1:2">
      <c r="A1645" s="29"/>
      <c r="B1645" s="30"/>
    </row>
    <row r="1646" spans="1:2">
      <c r="A1646" s="29"/>
      <c r="B1646" s="30"/>
    </row>
    <row r="1647" spans="1:2">
      <c r="A1647" s="29"/>
      <c r="B1647" s="30"/>
    </row>
    <row r="1648" spans="1:2">
      <c r="A1648" s="29"/>
      <c r="B1648" s="30"/>
    </row>
    <row r="1649" spans="1:2">
      <c r="A1649" s="29"/>
      <c r="B1649" s="30"/>
    </row>
    <row r="1650" spans="1:2">
      <c r="A1650" s="29"/>
      <c r="B1650" s="30"/>
    </row>
    <row r="1651" spans="1:2">
      <c r="A1651" s="29"/>
      <c r="B1651" s="30"/>
    </row>
    <row r="1652" spans="1:2">
      <c r="A1652" s="29"/>
      <c r="B1652" s="30"/>
    </row>
    <row r="1653" spans="1:2">
      <c r="A1653" s="29"/>
      <c r="B1653" s="30"/>
    </row>
    <row r="1654" spans="1:2">
      <c r="A1654" s="29"/>
      <c r="B1654" s="30"/>
    </row>
    <row r="1655" spans="1:2">
      <c r="A1655" s="29"/>
      <c r="B1655" s="30"/>
    </row>
    <row r="1656" spans="1:2">
      <c r="A1656" s="29"/>
      <c r="B1656" s="30"/>
    </row>
    <row r="1657" spans="1:2">
      <c r="A1657" s="29"/>
      <c r="B1657" s="30"/>
    </row>
    <row r="1658" spans="1:2">
      <c r="A1658" s="29"/>
      <c r="B1658" s="30"/>
    </row>
    <row r="1659" spans="1:2">
      <c r="A1659" s="29"/>
      <c r="B1659" s="30"/>
    </row>
    <row r="1660" spans="1:2">
      <c r="A1660" s="29"/>
      <c r="B1660" s="30"/>
    </row>
    <row r="1661" spans="1:2">
      <c r="A1661" s="29"/>
      <c r="B1661" s="30"/>
    </row>
    <row r="1662" spans="1:2">
      <c r="A1662" s="29"/>
      <c r="B1662" s="30"/>
    </row>
    <row r="1663" spans="1:2">
      <c r="A1663" s="29"/>
      <c r="B1663" s="30"/>
    </row>
    <row r="1664" spans="1:2">
      <c r="A1664" s="29"/>
      <c r="B1664" s="30"/>
    </row>
    <row r="1665" spans="1:13">
      <c r="A1665" s="29"/>
      <c r="B1665" s="30"/>
    </row>
    <row r="1666" spans="1:13">
      <c r="A1666" s="29"/>
      <c r="B1666" s="30"/>
    </row>
    <row r="1667" spans="1:13">
      <c r="A1667" s="29"/>
      <c r="B1667" s="30"/>
    </row>
    <row r="1668" spans="1:13">
      <c r="A1668" s="29"/>
      <c r="B1668" s="30"/>
    </row>
    <row r="1669" spans="1:13">
      <c r="A1669" s="29"/>
      <c r="B1669" s="30"/>
    </row>
    <row r="1670" spans="1:13">
      <c r="A1670" s="29"/>
      <c r="B1670" s="30"/>
    </row>
    <row r="1671" spans="1:13">
      <c r="A1671" s="29"/>
      <c r="B1671" s="30"/>
    </row>
    <row r="1672" spans="1:13">
      <c r="A1672" s="29"/>
      <c r="B1672" s="30"/>
    </row>
    <row r="1673" spans="1:13">
      <c r="A1673" s="29"/>
      <c r="B1673" s="30"/>
      <c r="M1673" s="30"/>
    </row>
    <row r="1674" spans="1:13">
      <c r="A1674" s="29"/>
      <c r="B1674" s="30"/>
    </row>
    <row r="1675" spans="1:13">
      <c r="A1675" s="29"/>
      <c r="B1675" s="30"/>
    </row>
    <row r="1676" spans="1:13">
      <c r="A1676" s="29"/>
      <c r="B1676" s="30"/>
    </row>
    <row r="1677" spans="1:13">
      <c r="A1677" s="29"/>
      <c r="B1677" s="30"/>
    </row>
    <row r="1678" spans="1:13">
      <c r="A1678" s="29"/>
      <c r="B1678" s="30"/>
    </row>
    <row r="1679" spans="1:13">
      <c r="A1679" s="29"/>
      <c r="B1679" s="30"/>
    </row>
    <row r="1680" spans="1:13">
      <c r="A1680" s="29"/>
      <c r="B1680" s="30"/>
    </row>
    <row r="1681" spans="1:2">
      <c r="A1681" s="29"/>
      <c r="B1681" s="30"/>
    </row>
    <row r="1682" spans="1:2">
      <c r="A1682" s="29"/>
      <c r="B1682" s="30"/>
    </row>
    <row r="1683" spans="1:2">
      <c r="A1683" s="29"/>
      <c r="B1683" s="30"/>
    </row>
    <row r="1684" spans="1:2">
      <c r="A1684" s="29"/>
      <c r="B1684" s="30"/>
    </row>
    <row r="1685" spans="1:2">
      <c r="A1685" s="29"/>
      <c r="B1685" s="30"/>
    </row>
    <row r="1686" spans="1:2">
      <c r="A1686" s="29"/>
      <c r="B1686" s="30"/>
    </row>
    <row r="1687" spans="1:2">
      <c r="A1687" s="29"/>
      <c r="B1687" s="30"/>
    </row>
    <row r="1688" spans="1:2">
      <c r="A1688" s="29"/>
      <c r="B1688" s="30"/>
    </row>
    <row r="1689" spans="1:2">
      <c r="A1689" s="29"/>
      <c r="B1689" s="30"/>
    </row>
    <row r="1690" spans="1:2">
      <c r="A1690" s="29"/>
      <c r="B1690" s="30"/>
    </row>
    <row r="1691" spans="1:2">
      <c r="A1691" s="29"/>
      <c r="B1691" s="30"/>
    </row>
    <row r="1692" spans="1:2">
      <c r="A1692" s="29"/>
      <c r="B1692" s="30"/>
    </row>
    <row r="1693" spans="1:2">
      <c r="A1693" s="29"/>
      <c r="B1693" s="30"/>
    </row>
    <row r="1694" spans="1:2">
      <c r="A1694" s="29"/>
      <c r="B1694" s="30"/>
    </row>
    <row r="1695" spans="1:2">
      <c r="A1695" s="29"/>
      <c r="B1695" s="30"/>
    </row>
    <row r="1696" spans="1:2">
      <c r="A1696" s="29"/>
      <c r="B1696" s="30"/>
    </row>
    <row r="1697" spans="1:2">
      <c r="A1697" s="29"/>
      <c r="B1697" s="30"/>
    </row>
    <row r="1698" spans="1:2">
      <c r="A1698" s="29"/>
      <c r="B1698" s="30"/>
    </row>
    <row r="1699" spans="1:2">
      <c r="A1699" s="29"/>
      <c r="B1699" s="30"/>
    </row>
    <row r="1700" spans="1:2">
      <c r="A1700" s="29"/>
      <c r="B1700" s="30"/>
    </row>
    <row r="1701" spans="1:2">
      <c r="A1701" s="29"/>
      <c r="B1701" s="30"/>
    </row>
    <row r="1702" spans="1:2">
      <c r="A1702" s="29"/>
      <c r="B1702" s="30"/>
    </row>
    <row r="1703" spans="1:2">
      <c r="A1703" s="29"/>
      <c r="B1703" s="30"/>
    </row>
    <row r="1704" spans="1:2">
      <c r="A1704" s="29"/>
      <c r="B1704" s="30"/>
    </row>
    <row r="1705" spans="1:2">
      <c r="A1705" s="29"/>
      <c r="B1705" s="30"/>
    </row>
    <row r="1706" spans="1:2">
      <c r="A1706" s="29"/>
      <c r="B1706" s="30"/>
    </row>
    <row r="1707" spans="1:2">
      <c r="A1707" s="29"/>
      <c r="B1707" s="30"/>
    </row>
    <row r="1708" spans="1:2">
      <c r="A1708" s="29"/>
      <c r="B1708" s="30"/>
    </row>
    <row r="1709" spans="1:2">
      <c r="A1709" s="29"/>
      <c r="B1709" s="30"/>
    </row>
    <row r="1710" spans="1:2">
      <c r="A1710" s="29"/>
      <c r="B1710" s="30"/>
    </row>
    <row r="1711" spans="1:2">
      <c r="A1711" s="29"/>
      <c r="B1711" s="30"/>
    </row>
    <row r="1712" spans="1:2">
      <c r="A1712" s="29"/>
      <c r="B1712" s="30"/>
    </row>
    <row r="1713" spans="1:13">
      <c r="A1713" s="29"/>
      <c r="B1713" s="30"/>
    </row>
    <row r="1714" spans="1:13">
      <c r="A1714" s="29"/>
      <c r="B1714" s="30"/>
    </row>
    <row r="1715" spans="1:13">
      <c r="A1715" s="29"/>
      <c r="B1715" s="30"/>
    </row>
    <row r="1716" spans="1:13">
      <c r="A1716" s="29"/>
      <c r="B1716" s="30"/>
    </row>
    <row r="1717" spans="1:13">
      <c r="A1717" s="29"/>
      <c r="B1717" s="30"/>
    </row>
    <row r="1718" spans="1:13">
      <c r="A1718" s="29"/>
      <c r="B1718" s="30"/>
      <c r="M1718" s="30"/>
    </row>
    <row r="1719" spans="1:13">
      <c r="A1719" s="29"/>
      <c r="B1719" s="30"/>
    </row>
    <row r="1720" spans="1:13">
      <c r="A1720" s="29"/>
      <c r="B1720" s="30"/>
    </row>
    <row r="1721" spans="1:13">
      <c r="A1721" s="29"/>
      <c r="B1721" s="30"/>
      <c r="M1721" s="30"/>
    </row>
    <row r="1722" spans="1:13">
      <c r="A1722" s="29"/>
      <c r="B1722" s="30"/>
    </row>
    <row r="1723" spans="1:13">
      <c r="A1723" s="29"/>
      <c r="B1723" s="30"/>
    </row>
    <row r="1724" spans="1:13">
      <c r="A1724" s="29"/>
      <c r="B1724" s="30"/>
    </row>
    <row r="1725" spans="1:13">
      <c r="A1725" s="29"/>
      <c r="B1725" s="30"/>
    </row>
    <row r="1726" spans="1:13">
      <c r="A1726" s="29"/>
      <c r="B1726" s="30"/>
    </row>
    <row r="1727" spans="1:13">
      <c r="A1727" s="29"/>
      <c r="B1727" s="30"/>
    </row>
    <row r="1728" spans="1:13">
      <c r="A1728" s="29"/>
      <c r="B1728" s="30"/>
    </row>
    <row r="1729" spans="1:2">
      <c r="A1729" s="29"/>
      <c r="B1729" s="30"/>
    </row>
    <row r="1730" spans="1:2">
      <c r="A1730" s="29"/>
      <c r="B1730" s="30"/>
    </row>
    <row r="1731" spans="1:2">
      <c r="A1731" s="29"/>
      <c r="B1731" s="30"/>
    </row>
    <row r="1732" spans="1:2">
      <c r="A1732" s="29"/>
      <c r="B1732" s="30"/>
    </row>
    <row r="1733" spans="1:2">
      <c r="A1733" s="29"/>
      <c r="B1733" s="30"/>
    </row>
    <row r="1734" spans="1:2">
      <c r="A1734" s="29"/>
      <c r="B1734" s="30"/>
    </row>
    <row r="1735" spans="1:2">
      <c r="A1735" s="29"/>
      <c r="B1735" s="30"/>
    </row>
    <row r="1736" spans="1:2">
      <c r="A1736" s="29"/>
      <c r="B1736" s="30"/>
    </row>
    <row r="1737" spans="1:2">
      <c r="A1737" s="29"/>
      <c r="B1737" s="30"/>
    </row>
    <row r="1738" spans="1:2">
      <c r="A1738" s="29"/>
      <c r="B1738" s="30"/>
    </row>
  </sheetData>
  <mergeCells count="1">
    <mergeCell ref="A1:P1"/>
  </mergeCells>
  <phoneticPr fontId="4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Q247"/>
  <sheetViews>
    <sheetView workbookViewId="0">
      <selection activeCell="H15" sqref="H15"/>
    </sheetView>
  </sheetViews>
  <sheetFormatPr defaultRowHeight="15"/>
  <cols>
    <col min="4" max="4" width="9.140625" style="3"/>
    <col min="5" max="5" width="19.28515625" bestFit="1" customWidth="1"/>
    <col min="13" max="13" width="18.42578125" bestFit="1" customWidth="1"/>
    <col min="14" max="14" width="13.42578125" customWidth="1"/>
  </cols>
  <sheetData>
    <row r="1" spans="2:17">
      <c r="D1"/>
    </row>
    <row r="2" spans="2:17">
      <c r="B2" s="1" t="s">
        <v>79</v>
      </c>
      <c r="D2" s="1" t="s">
        <v>9</v>
      </c>
      <c r="E2" s="1" t="s">
        <v>105</v>
      </c>
      <c r="G2" s="1" t="s">
        <v>114</v>
      </c>
      <c r="H2" s="1" t="s">
        <v>115</v>
      </c>
      <c r="J2" s="25" t="s">
        <v>319</v>
      </c>
      <c r="K2" s="25" t="s">
        <v>320</v>
      </c>
      <c r="M2" s="31" t="s">
        <v>219</v>
      </c>
      <c r="N2" s="31" t="s">
        <v>220</v>
      </c>
      <c r="P2" t="s">
        <v>114</v>
      </c>
      <c r="Q2" t="s">
        <v>420</v>
      </c>
    </row>
    <row r="3" spans="2:17">
      <c r="B3" s="1" t="s">
        <v>80</v>
      </c>
      <c r="D3" s="2" t="s">
        <v>104</v>
      </c>
      <c r="E3" s="1" t="s">
        <v>106</v>
      </c>
      <c r="G3" s="1" t="s">
        <v>273</v>
      </c>
      <c r="H3" s="1">
        <v>8.6999999999999994E-3</v>
      </c>
      <c r="J3" s="25" t="s">
        <v>289</v>
      </c>
      <c r="K3" s="25" t="s">
        <v>290</v>
      </c>
      <c r="M3" s="1" t="s">
        <v>227</v>
      </c>
      <c r="N3" s="1" t="s">
        <v>501</v>
      </c>
      <c r="P3" t="s">
        <v>273</v>
      </c>
      <c r="Q3">
        <v>3210</v>
      </c>
    </row>
    <row r="4" spans="2:17">
      <c r="B4" s="1" t="s">
        <v>81</v>
      </c>
      <c r="D4" s="2" t="s">
        <v>331</v>
      </c>
      <c r="E4" s="1" t="s">
        <v>375</v>
      </c>
      <c r="G4" s="1" t="s">
        <v>274</v>
      </c>
      <c r="H4" s="1">
        <v>1.7899999999999999E-2</v>
      </c>
      <c r="J4" s="25" t="s">
        <v>291</v>
      </c>
      <c r="K4" s="25" t="s">
        <v>290</v>
      </c>
      <c r="M4" s="1" t="s">
        <v>228</v>
      </c>
      <c r="N4" s="1" t="s">
        <v>502</v>
      </c>
      <c r="P4" t="s">
        <v>274</v>
      </c>
      <c r="Q4">
        <v>1510</v>
      </c>
    </row>
    <row r="5" spans="2:17">
      <c r="B5" s="1" t="s">
        <v>82</v>
      </c>
      <c r="D5" s="2" t="s">
        <v>332</v>
      </c>
      <c r="E5" s="1" t="s">
        <v>376</v>
      </c>
      <c r="G5" s="1" t="s">
        <v>275</v>
      </c>
      <c r="H5" s="1">
        <v>3.49E-2</v>
      </c>
      <c r="J5" s="25" t="s">
        <v>292</v>
      </c>
      <c r="K5" s="25" t="s">
        <v>290</v>
      </c>
      <c r="M5" s="1" t="s">
        <v>422</v>
      </c>
      <c r="N5" s="1" t="s">
        <v>503</v>
      </c>
      <c r="P5" t="s">
        <v>275</v>
      </c>
      <c r="Q5">
        <v>930</v>
      </c>
    </row>
    <row r="6" spans="2:17">
      <c r="B6" s="1" t="s">
        <v>83</v>
      </c>
      <c r="D6" s="2" t="s">
        <v>333</v>
      </c>
      <c r="E6" s="1" t="s">
        <v>377</v>
      </c>
      <c r="G6" s="1" t="s">
        <v>276</v>
      </c>
      <c r="H6" s="1">
        <v>5.16E-2</v>
      </c>
      <c r="J6" s="25" t="s">
        <v>293</v>
      </c>
      <c r="K6" s="25" t="s">
        <v>290</v>
      </c>
      <c r="M6" s="1" t="s">
        <v>229</v>
      </c>
      <c r="N6" s="1" t="s">
        <v>504</v>
      </c>
      <c r="P6" t="s">
        <v>276</v>
      </c>
      <c r="Q6">
        <v>615</v>
      </c>
    </row>
    <row r="7" spans="2:17">
      <c r="B7" s="1" t="s">
        <v>84</v>
      </c>
      <c r="D7" s="2" t="s">
        <v>334</v>
      </c>
      <c r="E7" s="1" t="s">
        <v>378</v>
      </c>
      <c r="G7" s="1" t="s">
        <v>277</v>
      </c>
      <c r="H7" s="1">
        <v>7.1499999999999994E-2</v>
      </c>
      <c r="J7" s="25" t="s">
        <v>294</v>
      </c>
      <c r="K7" s="25" t="s">
        <v>290</v>
      </c>
      <c r="M7" s="1" t="s">
        <v>231</v>
      </c>
      <c r="N7" s="1" t="s">
        <v>505</v>
      </c>
      <c r="P7" t="s">
        <v>277</v>
      </c>
      <c r="Q7">
        <v>510</v>
      </c>
    </row>
    <row r="8" spans="2:17">
      <c r="B8" s="1" t="s">
        <v>85</v>
      </c>
      <c r="D8" s="2" t="s">
        <v>335</v>
      </c>
      <c r="E8" s="1" t="s">
        <v>379</v>
      </c>
      <c r="G8" s="1" t="s">
        <v>283</v>
      </c>
      <c r="H8" s="1">
        <v>0.1394</v>
      </c>
      <c r="J8" s="25" t="s">
        <v>295</v>
      </c>
      <c r="K8" s="25" t="s">
        <v>290</v>
      </c>
      <c r="M8" s="1" t="s">
        <v>232</v>
      </c>
      <c r="N8" s="1" t="s">
        <v>506</v>
      </c>
      <c r="P8" t="s">
        <v>283</v>
      </c>
      <c r="Q8">
        <v>220</v>
      </c>
    </row>
    <row r="9" spans="2:17">
      <c r="B9" s="1" t="s">
        <v>86</v>
      </c>
      <c r="D9" s="2" t="s">
        <v>336</v>
      </c>
      <c r="E9" s="1" t="s">
        <v>380</v>
      </c>
      <c r="G9" s="1" t="s">
        <v>284</v>
      </c>
      <c r="H9" s="1">
        <v>0.1206</v>
      </c>
      <c r="J9" s="25" t="s">
        <v>296</v>
      </c>
      <c r="K9" s="25" t="s">
        <v>290</v>
      </c>
      <c r="M9" s="1" t="s">
        <v>233</v>
      </c>
      <c r="N9" s="1" t="s">
        <v>507</v>
      </c>
      <c r="P9" t="s">
        <v>278</v>
      </c>
      <c r="Q9">
        <v>3210</v>
      </c>
    </row>
    <row r="10" spans="2:17">
      <c r="B10" s="1" t="s">
        <v>87</v>
      </c>
      <c r="D10" s="2" t="s">
        <v>337</v>
      </c>
      <c r="E10" s="1" t="s">
        <v>381</v>
      </c>
      <c r="G10" s="1" t="s">
        <v>278</v>
      </c>
      <c r="H10" s="1">
        <v>5.4999999999999997E-3</v>
      </c>
      <c r="J10" s="25" t="s">
        <v>297</v>
      </c>
      <c r="K10" s="25" t="s">
        <v>290</v>
      </c>
      <c r="M10" s="1" t="s">
        <v>466</v>
      </c>
      <c r="N10" s="1" t="s">
        <v>508</v>
      </c>
      <c r="P10" t="s">
        <v>279</v>
      </c>
      <c r="Q10">
        <v>1510</v>
      </c>
    </row>
    <row r="11" spans="2:17">
      <c r="B11" s="1" t="s">
        <v>88</v>
      </c>
      <c r="D11" s="2" t="s">
        <v>338</v>
      </c>
      <c r="E11" s="1" t="s">
        <v>382</v>
      </c>
      <c r="G11" s="1" t="s">
        <v>279</v>
      </c>
      <c r="H11" s="1">
        <v>1.12E-2</v>
      </c>
      <c r="J11" s="25" t="s">
        <v>298</v>
      </c>
      <c r="K11" s="25" t="s">
        <v>290</v>
      </c>
      <c r="M11" s="1" t="s">
        <v>234</v>
      </c>
      <c r="N11" s="1" t="s">
        <v>509</v>
      </c>
      <c r="P11" t="s">
        <v>280</v>
      </c>
      <c r="Q11">
        <v>1510</v>
      </c>
    </row>
    <row r="12" spans="2:17">
      <c r="B12" s="1" t="s">
        <v>89</v>
      </c>
      <c r="D12" s="2" t="s">
        <v>339</v>
      </c>
      <c r="E12" s="1" t="s">
        <v>383</v>
      </c>
      <c r="G12" s="1" t="s">
        <v>280</v>
      </c>
      <c r="H12" s="1">
        <v>2.01E-2</v>
      </c>
      <c r="J12" s="25" t="s">
        <v>299</v>
      </c>
      <c r="K12" s="25" t="s">
        <v>59</v>
      </c>
      <c r="M12" s="1" t="s">
        <v>235</v>
      </c>
      <c r="N12" s="1" t="s">
        <v>510</v>
      </c>
      <c r="P12" t="s">
        <v>281</v>
      </c>
      <c r="Q12">
        <v>615</v>
      </c>
    </row>
    <row r="13" spans="2:17">
      <c r="B13" s="1" t="s">
        <v>90</v>
      </c>
      <c r="D13" s="2" t="s">
        <v>340</v>
      </c>
      <c r="E13" s="1" t="s">
        <v>384</v>
      </c>
      <c r="G13" s="1" t="s">
        <v>281</v>
      </c>
      <c r="H13" s="1">
        <v>4.5100000000000001E-2</v>
      </c>
      <c r="J13" s="25" t="s">
        <v>300</v>
      </c>
      <c r="K13" s="25" t="s">
        <v>290</v>
      </c>
      <c r="M13" s="1" t="s">
        <v>236</v>
      </c>
      <c r="N13" s="1" t="s">
        <v>511</v>
      </c>
      <c r="P13" t="s">
        <v>282</v>
      </c>
      <c r="Q13">
        <v>420</v>
      </c>
    </row>
    <row r="14" spans="2:17">
      <c r="B14" s="1" t="s">
        <v>91</v>
      </c>
      <c r="D14" s="2" t="s">
        <v>341</v>
      </c>
      <c r="E14" s="1" t="s">
        <v>385</v>
      </c>
      <c r="G14" s="1" t="s">
        <v>282</v>
      </c>
      <c r="H14" s="1">
        <v>8.0199999999999994E-2</v>
      </c>
      <c r="J14" s="25" t="s">
        <v>301</v>
      </c>
      <c r="K14" s="25" t="s">
        <v>290</v>
      </c>
      <c r="M14" s="1" t="s">
        <v>237</v>
      </c>
      <c r="N14" s="1" t="s">
        <v>512</v>
      </c>
      <c r="P14" t="s">
        <v>284</v>
      </c>
      <c r="Q14">
        <v>220</v>
      </c>
    </row>
    <row r="15" spans="2:17">
      <c r="B15" s="1" t="s">
        <v>92</v>
      </c>
      <c r="D15" s="2" t="s">
        <v>342</v>
      </c>
      <c r="E15" s="1" t="s">
        <v>386</v>
      </c>
      <c r="J15" s="25" t="s">
        <v>302</v>
      </c>
      <c r="K15" s="25" t="s">
        <v>290</v>
      </c>
      <c r="M15" s="1" t="s">
        <v>238</v>
      </c>
      <c r="N15" s="1" t="s">
        <v>513</v>
      </c>
    </row>
    <row r="16" spans="2:17">
      <c r="B16" s="1" t="s">
        <v>93</v>
      </c>
      <c r="D16" s="2" t="s">
        <v>343</v>
      </c>
      <c r="E16" s="1" t="s">
        <v>387</v>
      </c>
      <c r="J16" s="25" t="s">
        <v>303</v>
      </c>
      <c r="K16" s="25" t="s">
        <v>59</v>
      </c>
      <c r="M16" s="1" t="s">
        <v>239</v>
      </c>
      <c r="N16" s="1" t="s">
        <v>514</v>
      </c>
    </row>
    <row r="17" spans="2:14">
      <c r="B17" s="1" t="s">
        <v>94</v>
      </c>
      <c r="D17" s="2" t="s">
        <v>344</v>
      </c>
      <c r="E17" s="1" t="s">
        <v>388</v>
      </c>
      <c r="J17" s="25" t="s">
        <v>304</v>
      </c>
      <c r="K17" s="25" t="s">
        <v>290</v>
      </c>
      <c r="M17" s="1" t="s">
        <v>240</v>
      </c>
      <c r="N17" s="1" t="s">
        <v>515</v>
      </c>
    </row>
    <row r="18" spans="2:14">
      <c r="B18" s="1" t="s">
        <v>95</v>
      </c>
      <c r="D18" s="2" t="s">
        <v>345</v>
      </c>
      <c r="E18" s="158" t="s">
        <v>389</v>
      </c>
      <c r="J18" s="25" t="s">
        <v>305</v>
      </c>
      <c r="K18" s="25" t="s">
        <v>290</v>
      </c>
      <c r="M18" s="1" t="s">
        <v>241</v>
      </c>
      <c r="N18" s="1" t="s">
        <v>516</v>
      </c>
    </row>
    <row r="19" spans="2:14">
      <c r="B19" s="1" t="s">
        <v>96</v>
      </c>
      <c r="D19" s="2" t="s">
        <v>346</v>
      </c>
      <c r="E19" s="158" t="s">
        <v>390</v>
      </c>
      <c r="J19" s="25" t="s">
        <v>306</v>
      </c>
      <c r="K19" s="25" t="s">
        <v>290</v>
      </c>
      <c r="M19" s="1" t="s">
        <v>252</v>
      </c>
      <c r="N19" s="1" t="s">
        <v>517</v>
      </c>
    </row>
    <row r="20" spans="2:14">
      <c r="B20" s="1" t="s">
        <v>97</v>
      </c>
      <c r="D20" s="2" t="s">
        <v>347</v>
      </c>
      <c r="E20" s="1" t="s">
        <v>391</v>
      </c>
      <c r="J20" s="25" t="s">
        <v>307</v>
      </c>
      <c r="K20" s="25" t="s">
        <v>290</v>
      </c>
      <c r="M20" s="1" t="s">
        <v>242</v>
      </c>
      <c r="N20" s="1" t="s">
        <v>518</v>
      </c>
    </row>
    <row r="21" spans="2:14">
      <c r="B21" s="1" t="s">
        <v>98</v>
      </c>
      <c r="D21" s="2" t="s">
        <v>348</v>
      </c>
      <c r="E21" s="158" t="s">
        <v>392</v>
      </c>
      <c r="J21" s="25" t="s">
        <v>308</v>
      </c>
      <c r="K21" s="25" t="s">
        <v>59</v>
      </c>
      <c r="M21" s="1" t="s">
        <v>243</v>
      </c>
      <c r="N21" s="1" t="s">
        <v>519</v>
      </c>
    </row>
    <row r="22" spans="2:14">
      <c r="B22" s="1" t="s">
        <v>99</v>
      </c>
      <c r="D22" s="2" t="s">
        <v>349</v>
      </c>
      <c r="E22" s="1" t="s">
        <v>393</v>
      </c>
      <c r="J22" s="25" t="s">
        <v>309</v>
      </c>
      <c r="K22" s="25" t="s">
        <v>290</v>
      </c>
      <c r="M22" s="1" t="s">
        <v>467</v>
      </c>
      <c r="N22" s="1" t="s">
        <v>520</v>
      </c>
    </row>
    <row r="23" spans="2:14">
      <c r="B23" s="1" t="s">
        <v>100</v>
      </c>
      <c r="D23" s="2" t="s">
        <v>350</v>
      </c>
      <c r="E23" s="1" t="s">
        <v>394</v>
      </c>
      <c r="J23" s="25" t="s">
        <v>310</v>
      </c>
      <c r="K23" s="25" t="s">
        <v>290</v>
      </c>
      <c r="M23" s="1" t="s">
        <v>244</v>
      </c>
      <c r="N23" s="1" t="s">
        <v>521</v>
      </c>
    </row>
    <row r="24" spans="2:14">
      <c r="B24" s="1" t="s">
        <v>101</v>
      </c>
      <c r="D24" s="2" t="s">
        <v>351</v>
      </c>
      <c r="E24" s="1" t="s">
        <v>395</v>
      </c>
      <c r="J24" s="25" t="s">
        <v>311</v>
      </c>
      <c r="K24" s="25" t="s">
        <v>59</v>
      </c>
      <c r="M24" s="1" t="s">
        <v>468</v>
      </c>
      <c r="N24" s="1" t="s">
        <v>522</v>
      </c>
    </row>
    <row r="25" spans="2:14">
      <c r="B25" s="1" t="s">
        <v>102</v>
      </c>
      <c r="D25" s="2" t="s">
        <v>352</v>
      </c>
      <c r="E25" s="1" t="s">
        <v>396</v>
      </c>
      <c r="J25" s="25" t="s">
        <v>312</v>
      </c>
      <c r="K25" s="25" t="s">
        <v>290</v>
      </c>
      <c r="M25" s="1" t="s">
        <v>245</v>
      </c>
      <c r="N25" s="1" t="s">
        <v>523</v>
      </c>
    </row>
    <row r="26" spans="2:14">
      <c r="B26" s="1" t="s">
        <v>103</v>
      </c>
      <c r="D26" s="2" t="s">
        <v>353</v>
      </c>
      <c r="E26" s="158" t="s">
        <v>397</v>
      </c>
      <c r="J26" s="25" t="s">
        <v>313</v>
      </c>
      <c r="K26" s="25" t="s">
        <v>290</v>
      </c>
      <c r="M26" s="1" t="s">
        <v>246</v>
      </c>
      <c r="N26" s="1" t="s">
        <v>524</v>
      </c>
    </row>
    <row r="27" spans="2:14">
      <c r="D27" s="2" t="s">
        <v>354</v>
      </c>
      <c r="E27" s="1" t="s">
        <v>398</v>
      </c>
      <c r="J27" s="25" t="s">
        <v>314</v>
      </c>
      <c r="K27" s="25" t="s">
        <v>290</v>
      </c>
      <c r="M27" s="1" t="s">
        <v>247</v>
      </c>
      <c r="N27" s="1" t="s">
        <v>525</v>
      </c>
    </row>
    <row r="28" spans="2:14">
      <c r="D28" s="2" t="s">
        <v>355</v>
      </c>
      <c r="E28" s="1" t="s">
        <v>399</v>
      </c>
      <c r="J28" s="25" t="s">
        <v>315</v>
      </c>
      <c r="K28" s="25" t="s">
        <v>290</v>
      </c>
      <c r="M28" s="1" t="s">
        <v>249</v>
      </c>
      <c r="N28" s="1" t="s">
        <v>526</v>
      </c>
    </row>
    <row r="29" spans="2:14">
      <c r="D29" s="2" t="s">
        <v>356</v>
      </c>
      <c r="E29" s="1" t="s">
        <v>400</v>
      </c>
      <c r="J29" s="25" t="s">
        <v>316</v>
      </c>
      <c r="K29" s="25" t="s">
        <v>290</v>
      </c>
      <c r="M29" s="1" t="s">
        <v>250</v>
      </c>
      <c r="N29" s="1" t="s">
        <v>527</v>
      </c>
    </row>
    <row r="30" spans="2:14">
      <c r="D30" s="2" t="s">
        <v>357</v>
      </c>
      <c r="E30" s="1" t="s">
        <v>401</v>
      </c>
      <c r="J30" s="25" t="s">
        <v>317</v>
      </c>
      <c r="K30" s="25" t="s">
        <v>290</v>
      </c>
      <c r="M30" s="1" t="s">
        <v>251</v>
      </c>
      <c r="N30" s="1" t="s">
        <v>528</v>
      </c>
    </row>
    <row r="31" spans="2:14">
      <c r="D31" s="2" t="s">
        <v>358</v>
      </c>
      <c r="E31" s="1" t="s">
        <v>402</v>
      </c>
      <c r="J31" s="25" t="s">
        <v>318</v>
      </c>
      <c r="K31" s="25" t="s">
        <v>59</v>
      </c>
      <c r="M31" s="1" t="s">
        <v>469</v>
      </c>
      <c r="N31" s="1" t="s">
        <v>529</v>
      </c>
    </row>
    <row r="32" spans="2:14">
      <c r="D32" s="2" t="s">
        <v>359</v>
      </c>
      <c r="E32" s="1" t="s">
        <v>403</v>
      </c>
      <c r="M32" s="1" t="s">
        <v>253</v>
      </c>
      <c r="N32" s="1" t="s">
        <v>530</v>
      </c>
    </row>
    <row r="33" spans="4:14">
      <c r="D33" s="2" t="s">
        <v>360</v>
      </c>
      <c r="E33" s="1" t="s">
        <v>404</v>
      </c>
      <c r="M33" s="1" t="s">
        <v>254</v>
      </c>
      <c r="N33" s="1" t="s">
        <v>531</v>
      </c>
    </row>
    <row r="34" spans="4:14">
      <c r="D34" s="2" t="s">
        <v>361</v>
      </c>
      <c r="E34" s="158" t="s">
        <v>405</v>
      </c>
      <c r="M34" s="1" t="s">
        <v>255</v>
      </c>
      <c r="N34" s="1" t="s">
        <v>532</v>
      </c>
    </row>
    <row r="35" spans="4:14">
      <c r="D35" s="2" t="s">
        <v>362</v>
      </c>
      <c r="E35" s="1" t="s">
        <v>406</v>
      </c>
      <c r="M35" s="1" t="s">
        <v>470</v>
      </c>
      <c r="N35" s="1" t="s">
        <v>533</v>
      </c>
    </row>
    <row r="36" spans="4:14">
      <c r="D36" s="2" t="s">
        <v>363</v>
      </c>
      <c r="E36" s="158" t="s">
        <v>407</v>
      </c>
      <c r="M36" s="1" t="s">
        <v>262</v>
      </c>
      <c r="N36" s="1" t="s">
        <v>534</v>
      </c>
    </row>
    <row r="37" spans="4:14">
      <c r="D37" s="2" t="s">
        <v>364</v>
      </c>
      <c r="E37" s="1" t="s">
        <v>408</v>
      </c>
      <c r="M37" s="1" t="s">
        <v>259</v>
      </c>
      <c r="N37" s="1" t="s">
        <v>535</v>
      </c>
    </row>
    <row r="38" spans="4:14">
      <c r="D38" s="2" t="s">
        <v>365</v>
      </c>
      <c r="E38" s="1" t="s">
        <v>409</v>
      </c>
      <c r="M38" s="1" t="s">
        <v>248</v>
      </c>
      <c r="N38" s="1" t="s">
        <v>536</v>
      </c>
    </row>
    <row r="39" spans="4:14">
      <c r="D39" s="2" t="s">
        <v>366</v>
      </c>
      <c r="E39" s="1" t="s">
        <v>410</v>
      </c>
      <c r="M39" s="1" t="s">
        <v>429</v>
      </c>
      <c r="N39" s="1" t="s">
        <v>537</v>
      </c>
    </row>
    <row r="40" spans="4:14">
      <c r="D40" s="2" t="s">
        <v>367</v>
      </c>
      <c r="E40" s="1" t="s">
        <v>411</v>
      </c>
      <c r="M40" s="1" t="s">
        <v>268</v>
      </c>
      <c r="N40" s="1" t="s">
        <v>538</v>
      </c>
    </row>
    <row r="41" spans="4:14">
      <c r="D41" s="2" t="s">
        <v>368</v>
      </c>
      <c r="E41" s="1" t="s">
        <v>412</v>
      </c>
      <c r="M41" s="1" t="s">
        <v>471</v>
      </c>
      <c r="N41" s="1" t="s">
        <v>539</v>
      </c>
    </row>
    <row r="42" spans="4:14">
      <c r="D42" s="2" t="s">
        <v>369</v>
      </c>
      <c r="E42" s="1" t="s">
        <v>413</v>
      </c>
      <c r="M42" s="1" t="s">
        <v>440</v>
      </c>
      <c r="N42" s="1" t="s">
        <v>540</v>
      </c>
    </row>
    <row r="43" spans="4:14">
      <c r="D43" s="2" t="s">
        <v>370</v>
      </c>
      <c r="E43" s="1" t="s">
        <v>414</v>
      </c>
      <c r="M43" s="1" t="s">
        <v>257</v>
      </c>
      <c r="N43" s="1" t="s">
        <v>541</v>
      </c>
    </row>
    <row r="44" spans="4:14">
      <c r="D44" s="2" t="s">
        <v>371</v>
      </c>
      <c r="E44" s="1" t="s">
        <v>415</v>
      </c>
      <c r="M44" s="1" t="s">
        <v>256</v>
      </c>
      <c r="N44" s="1" t="s">
        <v>542</v>
      </c>
    </row>
    <row r="45" spans="4:14">
      <c r="D45" s="2" t="s">
        <v>372</v>
      </c>
      <c r="E45" s="1" t="s">
        <v>416</v>
      </c>
      <c r="M45" s="1" t="s">
        <v>425</v>
      </c>
      <c r="N45" s="1" t="s">
        <v>543</v>
      </c>
    </row>
    <row r="46" spans="4:14">
      <c r="D46" s="2" t="s">
        <v>373</v>
      </c>
      <c r="E46" s="1" t="s">
        <v>417</v>
      </c>
      <c r="M46" s="1" t="s">
        <v>260</v>
      </c>
      <c r="N46" s="1" t="s">
        <v>544</v>
      </c>
    </row>
    <row r="47" spans="4:14">
      <c r="D47" s="2" t="s">
        <v>374</v>
      </c>
      <c r="E47" s="158" t="s">
        <v>418</v>
      </c>
      <c r="M47" s="1" t="s">
        <v>472</v>
      </c>
      <c r="N47" s="1" t="s">
        <v>545</v>
      </c>
    </row>
    <row r="48" spans="4:14">
      <c r="D48" s="3" t="s">
        <v>628</v>
      </c>
      <c r="E48" s="124" t="s">
        <v>629</v>
      </c>
      <c r="M48" s="1" t="s">
        <v>439</v>
      </c>
      <c r="N48" s="1" t="s">
        <v>546</v>
      </c>
    </row>
    <row r="49" spans="4:14">
      <c r="D49" s="3" t="s">
        <v>639</v>
      </c>
      <c r="E49" s="124" t="s">
        <v>640</v>
      </c>
      <c r="M49" s="1" t="s">
        <v>258</v>
      </c>
      <c r="N49" s="1" t="s">
        <v>547</v>
      </c>
    </row>
    <row r="50" spans="4:14">
      <c r="D50" s="3" t="s">
        <v>644</v>
      </c>
      <c r="E50" s="157" t="s">
        <v>645</v>
      </c>
      <c r="M50" s="1" t="s">
        <v>473</v>
      </c>
      <c r="N50" s="1" t="s">
        <v>548</v>
      </c>
    </row>
    <row r="51" spans="4:14">
      <c r="D51" s="3" t="s">
        <v>649</v>
      </c>
      <c r="E51" s="124" t="s">
        <v>648</v>
      </c>
      <c r="M51" s="1" t="s">
        <v>474</v>
      </c>
      <c r="N51" s="1" t="s">
        <v>549</v>
      </c>
    </row>
    <row r="52" spans="4:14">
      <c r="M52" s="1" t="s">
        <v>475</v>
      </c>
      <c r="N52" s="1" t="s">
        <v>550</v>
      </c>
    </row>
    <row r="53" spans="4:14">
      <c r="M53" s="1" t="s">
        <v>263</v>
      </c>
      <c r="N53" s="1" t="s">
        <v>551</v>
      </c>
    </row>
    <row r="54" spans="4:14">
      <c r="M54" s="1" t="s">
        <v>264</v>
      </c>
      <c r="N54" s="1" t="s">
        <v>552</v>
      </c>
    </row>
    <row r="55" spans="4:14">
      <c r="M55" s="1" t="s">
        <v>266</v>
      </c>
      <c r="N55" s="1" t="s">
        <v>553</v>
      </c>
    </row>
    <row r="56" spans="4:14">
      <c r="M56" s="1" t="s">
        <v>476</v>
      </c>
      <c r="N56" s="1" t="s">
        <v>554</v>
      </c>
    </row>
    <row r="57" spans="4:14">
      <c r="M57" s="1" t="s">
        <v>430</v>
      </c>
      <c r="N57" s="1" t="s">
        <v>555</v>
      </c>
    </row>
    <row r="58" spans="4:14">
      <c r="M58" s="1" t="s">
        <v>424</v>
      </c>
      <c r="N58" s="1" t="s">
        <v>556</v>
      </c>
    </row>
    <row r="59" spans="4:14">
      <c r="M59" s="1" t="s">
        <v>477</v>
      </c>
      <c r="N59" s="1" t="s">
        <v>557</v>
      </c>
    </row>
    <row r="60" spans="4:14">
      <c r="M60" s="1" t="s">
        <v>269</v>
      </c>
      <c r="N60" s="1" t="s">
        <v>558</v>
      </c>
    </row>
    <row r="61" spans="4:14">
      <c r="M61" s="1" t="s">
        <v>426</v>
      </c>
      <c r="N61" s="1" t="s">
        <v>559</v>
      </c>
    </row>
    <row r="62" spans="4:14">
      <c r="M62" s="1" t="s">
        <v>433</v>
      </c>
      <c r="N62" s="1" t="s">
        <v>560</v>
      </c>
    </row>
    <row r="63" spans="4:14">
      <c r="M63" s="1" t="s">
        <v>478</v>
      </c>
      <c r="N63" s="1" t="s">
        <v>561</v>
      </c>
    </row>
    <row r="64" spans="4:14">
      <c r="M64" s="1" t="s">
        <v>435</v>
      </c>
      <c r="N64" s="1" t="s">
        <v>562</v>
      </c>
    </row>
    <row r="65" spans="13:14">
      <c r="M65" s="1" t="s">
        <v>479</v>
      </c>
      <c r="N65" s="1" t="s">
        <v>563</v>
      </c>
    </row>
    <row r="66" spans="13:14">
      <c r="M66" s="1" t="s">
        <v>261</v>
      </c>
      <c r="N66" s="1" t="s">
        <v>564</v>
      </c>
    </row>
    <row r="67" spans="13:14">
      <c r="M67" s="1" t="s">
        <v>270</v>
      </c>
      <c r="N67" s="1" t="s">
        <v>565</v>
      </c>
    </row>
    <row r="68" spans="13:14">
      <c r="M68" s="1" t="s">
        <v>480</v>
      </c>
      <c r="N68" s="1" t="s">
        <v>566</v>
      </c>
    </row>
    <row r="69" spans="13:14">
      <c r="M69" s="1" t="s">
        <v>481</v>
      </c>
      <c r="N69" s="1" t="s">
        <v>567</v>
      </c>
    </row>
    <row r="70" spans="13:14">
      <c r="M70" s="1" t="s">
        <v>482</v>
      </c>
      <c r="N70" s="1" t="s">
        <v>568</v>
      </c>
    </row>
    <row r="71" spans="13:14">
      <c r="M71" s="1" t="s">
        <v>427</v>
      </c>
      <c r="N71" s="1" t="s">
        <v>569</v>
      </c>
    </row>
    <row r="72" spans="13:14">
      <c r="M72" s="1" t="s">
        <v>434</v>
      </c>
      <c r="N72" s="1" t="s">
        <v>570</v>
      </c>
    </row>
    <row r="73" spans="13:14">
      <c r="M73" s="1" t="s">
        <v>271</v>
      </c>
      <c r="N73" s="1" t="s">
        <v>571</v>
      </c>
    </row>
    <row r="74" spans="13:14">
      <c r="M74" s="1" t="s">
        <v>483</v>
      </c>
      <c r="N74" s="1" t="s">
        <v>572</v>
      </c>
    </row>
    <row r="75" spans="13:14">
      <c r="M75" s="1" t="s">
        <v>436</v>
      </c>
      <c r="N75" s="1" t="s">
        <v>573</v>
      </c>
    </row>
    <row r="76" spans="13:14">
      <c r="M76" s="1" t="s">
        <v>265</v>
      </c>
      <c r="N76" s="1" t="s">
        <v>574</v>
      </c>
    </row>
    <row r="77" spans="13:14">
      <c r="M77" s="1" t="s">
        <v>267</v>
      </c>
      <c r="N77" s="1" t="s">
        <v>575</v>
      </c>
    </row>
    <row r="78" spans="13:14">
      <c r="M78" s="1" t="s">
        <v>484</v>
      </c>
      <c r="N78" s="1" t="s">
        <v>576</v>
      </c>
    </row>
    <row r="79" spans="13:14">
      <c r="M79" s="1" t="s">
        <v>485</v>
      </c>
      <c r="N79" s="1" t="s">
        <v>577</v>
      </c>
    </row>
    <row r="80" spans="13:14">
      <c r="M80" s="1" t="s">
        <v>437</v>
      </c>
      <c r="N80" s="1" t="s">
        <v>578</v>
      </c>
    </row>
    <row r="81" spans="13:14">
      <c r="M81" s="1" t="s">
        <v>486</v>
      </c>
      <c r="N81" s="1" t="s">
        <v>579</v>
      </c>
    </row>
    <row r="82" spans="13:14">
      <c r="M82" s="1" t="s">
        <v>487</v>
      </c>
      <c r="N82" s="1" t="s">
        <v>580</v>
      </c>
    </row>
    <row r="83" spans="13:14">
      <c r="M83" s="1" t="s">
        <v>488</v>
      </c>
      <c r="N83" s="1" t="s">
        <v>581</v>
      </c>
    </row>
    <row r="84" spans="13:14">
      <c r="M84" s="1" t="s">
        <v>423</v>
      </c>
      <c r="N84" s="1" t="s">
        <v>582</v>
      </c>
    </row>
    <row r="85" spans="13:14">
      <c r="M85" s="1" t="s">
        <v>489</v>
      </c>
      <c r="N85" s="1" t="s">
        <v>583</v>
      </c>
    </row>
    <row r="86" spans="13:14">
      <c r="M86" s="1" t="s">
        <v>490</v>
      </c>
      <c r="N86" s="1" t="s">
        <v>584</v>
      </c>
    </row>
    <row r="87" spans="13:14">
      <c r="M87" s="1" t="s">
        <v>221</v>
      </c>
      <c r="N87" s="1" t="s">
        <v>585</v>
      </c>
    </row>
    <row r="88" spans="13:14">
      <c r="M88" s="1" t="s">
        <v>431</v>
      </c>
      <c r="N88" s="1" t="s">
        <v>586</v>
      </c>
    </row>
    <row r="89" spans="13:14">
      <c r="M89" s="1" t="s">
        <v>272</v>
      </c>
      <c r="N89" s="1" t="s">
        <v>587</v>
      </c>
    </row>
    <row r="90" spans="13:14">
      <c r="M90" s="1" t="s">
        <v>491</v>
      </c>
      <c r="N90" s="1" t="s">
        <v>588</v>
      </c>
    </row>
    <row r="91" spans="13:14">
      <c r="M91" s="1" t="s">
        <v>492</v>
      </c>
      <c r="N91" s="1" t="s">
        <v>589</v>
      </c>
    </row>
    <row r="92" spans="13:14">
      <c r="M92" s="1" t="s">
        <v>428</v>
      </c>
      <c r="N92" s="1" t="s">
        <v>590</v>
      </c>
    </row>
    <row r="93" spans="13:14">
      <c r="M93" s="1" t="s">
        <v>493</v>
      </c>
      <c r="N93" s="1" t="s">
        <v>591</v>
      </c>
    </row>
    <row r="94" spans="13:14">
      <c r="M94" s="1" t="s">
        <v>494</v>
      </c>
      <c r="N94" s="1" t="s">
        <v>592</v>
      </c>
    </row>
    <row r="95" spans="13:14">
      <c r="M95" s="1" t="s">
        <v>495</v>
      </c>
      <c r="N95" s="1" t="s">
        <v>593</v>
      </c>
    </row>
    <row r="96" spans="13:14">
      <c r="M96" s="1" t="s">
        <v>432</v>
      </c>
      <c r="N96" s="1" t="s">
        <v>594</v>
      </c>
    </row>
    <row r="97" spans="13:14">
      <c r="M97" s="1" t="s">
        <v>496</v>
      </c>
      <c r="N97" s="1" t="s">
        <v>595</v>
      </c>
    </row>
    <row r="98" spans="13:14">
      <c r="M98" s="1" t="s">
        <v>497</v>
      </c>
      <c r="N98" s="1" t="s">
        <v>596</v>
      </c>
    </row>
    <row r="99" spans="13:14">
      <c r="M99" s="1" t="s">
        <v>438</v>
      </c>
      <c r="N99" s="1" t="s">
        <v>597</v>
      </c>
    </row>
    <row r="100" spans="13:14">
      <c r="M100" s="1" t="s">
        <v>498</v>
      </c>
      <c r="N100" s="1" t="s">
        <v>598</v>
      </c>
    </row>
    <row r="101" spans="13:14">
      <c r="M101" s="1" t="s">
        <v>499</v>
      </c>
      <c r="N101" s="1" t="s">
        <v>599</v>
      </c>
    </row>
    <row r="102" spans="13:14">
      <c r="M102" s="1" t="s">
        <v>500</v>
      </c>
      <c r="N102" s="1" t="s">
        <v>600</v>
      </c>
    </row>
    <row r="103" spans="13:14">
      <c r="M103" s="1" t="s">
        <v>222</v>
      </c>
      <c r="N103" s="1" t="s">
        <v>601</v>
      </c>
    </row>
    <row r="104" spans="13:14">
      <c r="M104" s="1" t="s">
        <v>224</v>
      </c>
      <c r="N104" s="1" t="s">
        <v>602</v>
      </c>
    </row>
    <row r="105" spans="13:14">
      <c r="M105" s="1" t="s">
        <v>223</v>
      </c>
      <c r="N105" s="1" t="s">
        <v>603</v>
      </c>
    </row>
    <row r="106" spans="13:14">
      <c r="M106" s="1" t="s">
        <v>225</v>
      </c>
      <c r="N106" s="1" t="s">
        <v>604</v>
      </c>
    </row>
    <row r="107" spans="13:14">
      <c r="M107" s="1" t="s">
        <v>226</v>
      </c>
      <c r="N107" s="1" t="s">
        <v>605</v>
      </c>
    </row>
    <row r="108" spans="13:14">
      <c r="M108" s="1" t="s">
        <v>230</v>
      </c>
      <c r="N108" s="1" t="s">
        <v>606</v>
      </c>
    </row>
    <row r="109" spans="13:14">
      <c r="M109" s="1" t="s">
        <v>216</v>
      </c>
      <c r="N109" s="1" t="s">
        <v>607</v>
      </c>
    </row>
    <row r="110" spans="13:14">
      <c r="M110" s="1"/>
      <c r="N110" s="1"/>
    </row>
    <row r="111" spans="13:14">
      <c r="M111" s="1"/>
      <c r="N111" s="1"/>
    </row>
    <row r="112" spans="13:14">
      <c r="M112" s="1"/>
      <c r="N112" s="1"/>
    </row>
    <row r="113" spans="13:14">
      <c r="M113" s="1"/>
      <c r="N113" s="1"/>
    </row>
    <row r="114" spans="13:14">
      <c r="M114" s="1"/>
      <c r="N114" s="1"/>
    </row>
    <row r="115" spans="13:14">
      <c r="M115" s="1"/>
      <c r="N115" s="1"/>
    </row>
    <row r="116" spans="13:14">
      <c r="M116" s="1"/>
      <c r="N116" s="1"/>
    </row>
    <row r="117" spans="13:14">
      <c r="M117" s="1"/>
      <c r="N117" s="1"/>
    </row>
    <row r="118" spans="13:14">
      <c r="M118" s="1"/>
      <c r="N118" s="1"/>
    </row>
    <row r="119" spans="13:14">
      <c r="M119" s="1"/>
      <c r="N119" s="1"/>
    </row>
    <row r="120" spans="13:14">
      <c r="M120" s="1"/>
      <c r="N120" s="1"/>
    </row>
    <row r="121" spans="13:14">
      <c r="M121" s="1"/>
      <c r="N121" s="1"/>
    </row>
    <row r="122" spans="13:14">
      <c r="M122" s="1"/>
      <c r="N122" s="1"/>
    </row>
    <row r="123" spans="13:14">
      <c r="M123" s="1"/>
      <c r="N123" s="1"/>
    </row>
    <row r="124" spans="13:14">
      <c r="M124" s="1"/>
      <c r="N124" s="1"/>
    </row>
    <row r="125" spans="13:14">
      <c r="M125" s="1"/>
      <c r="N125" s="1"/>
    </row>
    <row r="126" spans="13:14">
      <c r="M126" s="1"/>
      <c r="N126" s="1"/>
    </row>
    <row r="127" spans="13:14">
      <c r="M127" s="1"/>
      <c r="N127" s="1"/>
    </row>
    <row r="128" spans="13:14">
      <c r="M128" s="1"/>
      <c r="N128" s="1"/>
    </row>
    <row r="129" spans="13:14">
      <c r="M129" s="1"/>
      <c r="N129" s="1"/>
    </row>
    <row r="130" spans="13:14">
      <c r="M130" s="1"/>
      <c r="N130" s="1"/>
    </row>
    <row r="131" spans="13:14">
      <c r="M131" s="1"/>
      <c r="N131" s="1"/>
    </row>
    <row r="132" spans="13:14">
      <c r="M132" s="1"/>
      <c r="N132" s="1"/>
    </row>
    <row r="133" spans="13:14">
      <c r="M133" s="1"/>
      <c r="N133" s="1"/>
    </row>
    <row r="134" spans="13:14">
      <c r="M134" s="1"/>
      <c r="N134" s="1"/>
    </row>
    <row r="135" spans="13:14">
      <c r="M135" s="1"/>
      <c r="N135" s="1"/>
    </row>
    <row r="136" spans="13:14">
      <c r="M136" s="1"/>
      <c r="N136" s="1"/>
    </row>
    <row r="137" spans="13:14">
      <c r="M137" s="1"/>
      <c r="N137" s="1"/>
    </row>
    <row r="138" spans="13:14">
      <c r="M138" s="1"/>
      <c r="N138" s="1"/>
    </row>
    <row r="139" spans="13:14">
      <c r="M139" s="1"/>
      <c r="N139" s="1"/>
    </row>
    <row r="140" spans="13:14">
      <c r="M140" s="1"/>
      <c r="N140" s="1"/>
    </row>
    <row r="141" spans="13:14">
      <c r="M141" s="1"/>
      <c r="N141" s="1"/>
    </row>
    <row r="142" spans="13:14">
      <c r="M142" s="1"/>
      <c r="N142" s="1"/>
    </row>
    <row r="143" spans="13:14">
      <c r="M143" s="1"/>
      <c r="N143" s="1"/>
    </row>
    <row r="144" spans="13:14">
      <c r="M144" s="1"/>
      <c r="N144" s="1"/>
    </row>
    <row r="145" spans="13:14">
      <c r="M145" s="1"/>
      <c r="N145" s="1"/>
    </row>
    <row r="146" spans="13:14">
      <c r="M146" s="1"/>
      <c r="N146" s="1"/>
    </row>
    <row r="147" spans="13:14">
      <c r="M147" s="1"/>
      <c r="N147" s="1"/>
    </row>
    <row r="148" spans="13:14">
      <c r="M148" s="1"/>
      <c r="N148" s="1"/>
    </row>
    <row r="149" spans="13:14">
      <c r="M149" s="1"/>
      <c r="N149" s="1"/>
    </row>
    <row r="150" spans="13:14">
      <c r="M150" s="1"/>
      <c r="N150" s="1"/>
    </row>
    <row r="151" spans="13:14">
      <c r="M151" s="1"/>
      <c r="N151" s="1"/>
    </row>
    <row r="152" spans="13:14">
      <c r="M152" s="1"/>
      <c r="N152" s="1"/>
    </row>
    <row r="153" spans="13:14">
      <c r="M153" s="1"/>
      <c r="N153" s="1"/>
    </row>
    <row r="154" spans="13:14">
      <c r="M154" s="1"/>
      <c r="N154" s="1"/>
    </row>
    <row r="155" spans="13:14">
      <c r="M155" s="1"/>
      <c r="N155" s="1"/>
    </row>
    <row r="156" spans="13:14">
      <c r="M156" s="1"/>
      <c r="N156" s="1"/>
    </row>
    <row r="157" spans="13:14">
      <c r="M157" s="1"/>
      <c r="N157" s="1"/>
    </row>
    <row r="158" spans="13:14">
      <c r="M158" s="1"/>
      <c r="N158" s="1"/>
    </row>
    <row r="159" spans="13:14">
      <c r="M159" s="1"/>
      <c r="N159" s="1"/>
    </row>
    <row r="160" spans="13:14">
      <c r="M160" s="1"/>
      <c r="N160" s="1"/>
    </row>
    <row r="161" spans="13:14">
      <c r="M161" s="1"/>
      <c r="N161" s="1"/>
    </row>
    <row r="162" spans="13:14">
      <c r="M162" s="1"/>
      <c r="N162" s="1"/>
    </row>
    <row r="163" spans="13:14">
      <c r="M163" s="1"/>
      <c r="N163" s="1"/>
    </row>
    <row r="164" spans="13:14">
      <c r="M164" s="1"/>
      <c r="N164" s="1"/>
    </row>
    <row r="165" spans="13:14">
      <c r="M165" s="1"/>
      <c r="N165" s="1"/>
    </row>
    <row r="166" spans="13:14">
      <c r="M166" s="1"/>
      <c r="N166" s="1"/>
    </row>
    <row r="167" spans="13:14">
      <c r="M167" s="1"/>
      <c r="N167" s="1"/>
    </row>
    <row r="168" spans="13:14">
      <c r="M168" s="1"/>
      <c r="N168" s="1"/>
    </row>
    <row r="169" spans="13:14">
      <c r="M169" s="1"/>
      <c r="N169" s="1"/>
    </row>
    <row r="170" spans="13:14">
      <c r="M170" s="1"/>
      <c r="N170" s="1"/>
    </row>
    <row r="171" spans="13:14">
      <c r="M171" s="1"/>
      <c r="N171" s="1"/>
    </row>
    <row r="172" spans="13:14">
      <c r="M172" s="1"/>
      <c r="N172" s="1"/>
    </row>
    <row r="173" spans="13:14">
      <c r="M173" s="1"/>
      <c r="N173" s="1"/>
    </row>
    <row r="174" spans="13:14">
      <c r="M174" s="1"/>
      <c r="N174" s="1"/>
    </row>
    <row r="175" spans="13:14">
      <c r="M175" s="1"/>
      <c r="N175" s="1"/>
    </row>
    <row r="176" spans="13:14">
      <c r="M176" s="1"/>
      <c r="N176" s="1"/>
    </row>
    <row r="177" spans="13:14">
      <c r="M177" s="1"/>
      <c r="N177" s="1"/>
    </row>
    <row r="178" spans="13:14">
      <c r="M178" s="1"/>
      <c r="N178" s="1"/>
    </row>
    <row r="179" spans="13:14">
      <c r="M179" s="1"/>
      <c r="N179" s="1"/>
    </row>
    <row r="180" spans="13:14">
      <c r="M180" s="1"/>
      <c r="N180" s="1"/>
    </row>
    <row r="181" spans="13:14">
      <c r="M181" s="1"/>
      <c r="N181" s="1"/>
    </row>
    <row r="182" spans="13:14">
      <c r="M182" s="1"/>
      <c r="N182" s="1"/>
    </row>
    <row r="183" spans="13:14">
      <c r="M183" s="1"/>
      <c r="N183" s="1"/>
    </row>
    <row r="184" spans="13:14">
      <c r="M184" s="1"/>
      <c r="N184" s="1"/>
    </row>
    <row r="185" spans="13:14">
      <c r="M185" s="1"/>
      <c r="N185" s="1"/>
    </row>
    <row r="186" spans="13:14">
      <c r="M186" s="1"/>
      <c r="N186" s="1"/>
    </row>
    <row r="187" spans="13:14">
      <c r="M187" s="1"/>
      <c r="N187" s="1"/>
    </row>
    <row r="188" spans="13:14">
      <c r="M188" s="1"/>
      <c r="N188" s="1"/>
    </row>
    <row r="189" spans="13:14">
      <c r="M189" s="1"/>
      <c r="N189" s="1"/>
    </row>
    <row r="190" spans="13:14">
      <c r="M190" s="1"/>
      <c r="N190" s="1"/>
    </row>
    <row r="191" spans="13:14">
      <c r="M191" s="1"/>
      <c r="N191" s="1"/>
    </row>
    <row r="192" spans="13:14">
      <c r="M192" s="1"/>
      <c r="N192" s="1"/>
    </row>
    <row r="193" spans="13:14">
      <c r="M193" s="1"/>
      <c r="N193" s="1"/>
    </row>
    <row r="194" spans="13:14">
      <c r="M194" s="1"/>
      <c r="N194" s="1"/>
    </row>
    <row r="195" spans="13:14">
      <c r="M195" s="1"/>
      <c r="N195" s="1"/>
    </row>
    <row r="196" spans="13:14">
      <c r="M196" s="1"/>
      <c r="N196" s="1"/>
    </row>
    <row r="197" spans="13:14">
      <c r="M197" s="1"/>
      <c r="N197" s="1"/>
    </row>
    <row r="198" spans="13:14">
      <c r="M198" s="1"/>
      <c r="N198" s="1"/>
    </row>
    <row r="199" spans="13:14">
      <c r="M199" s="1"/>
      <c r="N199" s="1"/>
    </row>
    <row r="200" spans="13:14">
      <c r="M200" s="1"/>
      <c r="N200" s="1"/>
    </row>
    <row r="201" spans="13:14">
      <c r="M201" s="1"/>
      <c r="N201" s="1"/>
    </row>
    <row r="202" spans="13:14">
      <c r="M202" s="1"/>
      <c r="N202" s="1"/>
    </row>
    <row r="203" spans="13:14">
      <c r="M203" s="1"/>
      <c r="N203" s="1"/>
    </row>
    <row r="204" spans="13:14">
      <c r="M204" s="1"/>
      <c r="N204" s="1"/>
    </row>
    <row r="205" spans="13:14">
      <c r="M205" s="1"/>
      <c r="N205" s="1"/>
    </row>
    <row r="206" spans="13:14">
      <c r="M206" s="1"/>
      <c r="N206" s="1"/>
    </row>
    <row r="207" spans="13:14">
      <c r="M207" s="1"/>
      <c r="N207" s="1"/>
    </row>
    <row r="208" spans="13:14">
      <c r="M208" s="1"/>
      <c r="N208" s="1"/>
    </row>
    <row r="209" spans="13:14">
      <c r="M209" s="1"/>
      <c r="N209" s="1"/>
    </row>
    <row r="210" spans="13:14">
      <c r="M210" s="1"/>
      <c r="N210" s="1"/>
    </row>
    <row r="211" spans="13:14">
      <c r="M211" s="1"/>
      <c r="N211" s="1"/>
    </row>
    <row r="212" spans="13:14">
      <c r="M212" s="1"/>
      <c r="N212" s="1"/>
    </row>
    <row r="213" spans="13:14">
      <c r="M213" s="1"/>
      <c r="N213" s="1"/>
    </row>
    <row r="214" spans="13:14">
      <c r="M214" s="1"/>
      <c r="N214" s="1"/>
    </row>
    <row r="215" spans="13:14">
      <c r="M215" s="1"/>
      <c r="N215" s="1"/>
    </row>
    <row r="216" spans="13:14">
      <c r="M216" s="1"/>
      <c r="N216" s="1"/>
    </row>
    <row r="217" spans="13:14">
      <c r="M217" s="1"/>
      <c r="N217" s="1"/>
    </row>
    <row r="218" spans="13:14">
      <c r="M218" s="1"/>
      <c r="N218" s="1"/>
    </row>
    <row r="219" spans="13:14">
      <c r="M219" s="1"/>
      <c r="N219" s="1"/>
    </row>
    <row r="220" spans="13:14">
      <c r="M220" s="1"/>
      <c r="N220" s="1"/>
    </row>
    <row r="221" spans="13:14">
      <c r="M221" s="1"/>
      <c r="N221" s="1"/>
    </row>
    <row r="222" spans="13:14">
      <c r="M222" s="1"/>
      <c r="N222" s="1"/>
    </row>
    <row r="223" spans="13:14">
      <c r="M223" s="1"/>
      <c r="N223" s="1"/>
    </row>
    <row r="224" spans="13:14">
      <c r="M224" s="1"/>
      <c r="N224" s="1"/>
    </row>
    <row r="225" spans="13:14">
      <c r="M225" s="1"/>
      <c r="N225" s="1"/>
    </row>
    <row r="226" spans="13:14">
      <c r="M226" s="1"/>
      <c r="N226" s="1"/>
    </row>
    <row r="227" spans="13:14">
      <c r="M227" s="1"/>
      <c r="N227" s="1"/>
    </row>
    <row r="228" spans="13:14">
      <c r="M228" s="1"/>
      <c r="N228" s="1"/>
    </row>
    <row r="229" spans="13:14">
      <c r="M229" s="1"/>
      <c r="N229" s="1"/>
    </row>
    <row r="230" spans="13:14">
      <c r="M230" s="1"/>
      <c r="N230" s="1"/>
    </row>
    <row r="231" spans="13:14">
      <c r="M231" s="1"/>
      <c r="N231" s="1"/>
    </row>
    <row r="232" spans="13:14">
      <c r="M232" s="1"/>
      <c r="N232" s="1"/>
    </row>
    <row r="233" spans="13:14">
      <c r="M233" s="1"/>
      <c r="N233" s="1"/>
    </row>
    <row r="234" spans="13:14">
      <c r="M234" s="1"/>
      <c r="N234" s="1"/>
    </row>
    <row r="235" spans="13:14">
      <c r="M235" s="1"/>
      <c r="N235" s="1"/>
    </row>
    <row r="236" spans="13:14">
      <c r="M236" s="1"/>
      <c r="N236" s="1"/>
    </row>
    <row r="237" spans="13:14">
      <c r="M237" s="1"/>
      <c r="N237" s="1"/>
    </row>
    <row r="238" spans="13:14">
      <c r="M238" s="1"/>
      <c r="N238" s="1"/>
    </row>
    <row r="239" spans="13:14">
      <c r="M239" s="1"/>
      <c r="N239" s="1"/>
    </row>
    <row r="240" spans="13:14">
      <c r="M240" s="1"/>
      <c r="N240" s="1"/>
    </row>
    <row r="241" spans="13:14">
      <c r="M241" s="1"/>
      <c r="N241" s="1"/>
    </row>
    <row r="242" spans="13:14">
      <c r="M242" s="1"/>
      <c r="N242" s="1"/>
    </row>
    <row r="243" spans="13:14">
      <c r="M243" s="1"/>
      <c r="N243" s="1"/>
    </row>
    <row r="244" spans="13:14">
      <c r="M244" s="1"/>
      <c r="N244" s="1"/>
    </row>
    <row r="245" spans="13:14">
      <c r="M245" s="1"/>
      <c r="N245" s="1"/>
    </row>
    <row r="246" spans="13:14">
      <c r="M246" s="1"/>
      <c r="N246" s="1"/>
    </row>
    <row r="247" spans="13:14">
      <c r="M247" s="1"/>
      <c r="N247" s="1"/>
    </row>
  </sheetData>
  <phoneticPr fontId="4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Input</vt:lpstr>
      <vt:lpstr>DATA_TIME</vt:lpstr>
      <vt:lpstr>DATA_PLASTIC</vt:lpstr>
      <vt:lpstr>SHOT</vt:lpstr>
      <vt:lpstr>DATA_BU</vt:lpstr>
      <vt:lpstr>DATA_TIME_BU</vt:lpstr>
      <vt:lpstr>List</vt:lpstr>
      <vt:lpstr>Input!Print_Area</vt:lpstr>
      <vt:lpstr>SHOT!Print_Area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Tuân Thân Trong</dc:creator>
  <cp:lastModifiedBy>Tuan Than Trong (Plastic Extrusion)</cp:lastModifiedBy>
  <cp:lastPrinted>2025-06-05T03:45:13Z</cp:lastPrinted>
  <dcterms:created xsi:type="dcterms:W3CDTF">2024-12-07T06:49:38Z</dcterms:created>
  <dcterms:modified xsi:type="dcterms:W3CDTF">2026-10-10T08:41:59Z</dcterms:modified>
</cp:coreProperties>
</file>